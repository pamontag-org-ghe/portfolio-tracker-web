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0.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1.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2.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4.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hidePivotFieldList="1" defaultThemeVersion="166925"/>
  <xr:revisionPtr revIDLastSave="126" documentId="13_ncr:1_{00BABCFD-1332-41AB-BA3A-B339FB60291C}" xr6:coauthVersionLast="47" xr6:coauthVersionMax="47" xr10:uidLastSave="{7ED2846C-1E9C-4AAD-873A-93D0A7AA7C66}"/>
  <bookViews>
    <workbookView xWindow="-120" yWindow="-120" windowWidth="29040" windowHeight="15720" tabRatio="726" activeTab="4" xr2:uid="{A40013AB-E99F-4C74-B794-06A981A2D234}"/>
  </bookViews>
  <sheets>
    <sheet name="Stato patrimoniale" sheetId="1" r:id="rId1"/>
    <sheet name="Operazioni" sheetId="6" r:id="rId2"/>
    <sheet name="Securities" sheetId="40" r:id="rId3"/>
    <sheet name="Transactions_Buy" sheetId="41" r:id="rId4"/>
    <sheet name="Transaction_Sell" sheetId="42" r:id="rId5"/>
    <sheet name="Dividends" sheetId="43" r:id="rId6"/>
    <sheet name="Per stock" sheetId="26" r:id="rId7"/>
    <sheet name="Per tipo" sheetId="8" r:id="rId8"/>
    <sheet name="Per classe" sheetId="9" r:id="rId9"/>
    <sheet name="Per valuta" sheetId="10" r:id="rId10"/>
    <sheet name="Per Intermediario" sheetId="13" r:id="rId11"/>
    <sheet name="Per Area" sheetId="12" r:id="rId12"/>
    <sheet name="Azionario per Area" sheetId="22" r:id="rId13"/>
    <sheet name="Obblig per Area" sheetId="23" r:id="rId14"/>
    <sheet name="Per Settore" sheetId="11" r:id="rId15"/>
    <sheet name="Azionario per Settore" sheetId="24" r:id="rId16"/>
    <sheet name="Obblig per Settore" sheetId="25" r:id="rId17"/>
    <sheet name="Per Emittente" sheetId="14" r:id="rId18"/>
    <sheet name="Per valuta (2)" sheetId="17" r:id="rId19"/>
    <sheet name="Per Intermediario (2)" sheetId="18" r:id="rId20"/>
    <sheet name="Valute" sheetId="3" r:id="rId21"/>
    <sheet name="ValuteAutoDownload" sheetId="2" r:id="rId22"/>
  </sheets>
  <definedNames>
    <definedName name="_xlnm._FilterDatabase" localSheetId="1" hidden="1">Operazioni!$A$1:$K$105</definedName>
    <definedName name="_xlnm._FilterDatabase" localSheetId="0" hidden="1">'Stato patrimoniale'!$A$1:$AT$123</definedName>
    <definedName name="ExternalData_1" localSheetId="21" hidden="1">ValuteAutoDownload!$B$1:$D$31</definedName>
    <definedName name="ExternalData_2" localSheetId="21" hidden="1">ValuteAutoDownload!#REF!</definedName>
    <definedName name="ExternalData_3" localSheetId="21" hidden="1">ValuteAutoDownload!$G$1:$K$146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6" i="41" l="1"/>
  <c r="E16" i="41"/>
  <c r="F16" i="41"/>
  <c r="G16" i="41"/>
  <c r="H16" i="41"/>
  <c r="I16" i="41"/>
  <c r="K16" i="41"/>
  <c r="M16" i="41"/>
  <c r="N16" i="41"/>
  <c r="C16" i="41"/>
  <c r="B16" i="41"/>
  <c r="A16" i="41"/>
  <c r="F2" i="43" a="1"/>
  <c r="E2" i="43" a="1"/>
  <c r="D2" i="43" a="1"/>
  <c r="B106" i="43"/>
  <c r="C106" i="43"/>
  <c r="H106" i="43"/>
  <c r="B107" i="43"/>
  <c r="C107" i="43"/>
  <c r="H107" i="43"/>
  <c r="I107" i="43"/>
  <c r="B108" i="43"/>
  <c r="C108" i="43"/>
  <c r="H108" i="43"/>
  <c r="B109" i="43"/>
  <c r="C109" i="43"/>
  <c r="H109" i="43"/>
  <c r="I109" i="43"/>
  <c r="B110" i="43"/>
  <c r="C110" i="43"/>
  <c r="H110" i="43"/>
  <c r="B111" i="43"/>
  <c r="C111" i="43"/>
  <c r="H111" i="43"/>
  <c r="B112" i="43"/>
  <c r="C112" i="43"/>
  <c r="H112" i="43"/>
  <c r="B113" i="43"/>
  <c r="C113" i="43"/>
  <c r="H113" i="43"/>
  <c r="B114" i="43"/>
  <c r="C114" i="43"/>
  <c r="H114" i="43"/>
  <c r="B115" i="43"/>
  <c r="C115" i="43"/>
  <c r="H115" i="43"/>
  <c r="B116" i="43"/>
  <c r="C116" i="43"/>
  <c r="H116" i="43"/>
  <c r="B117" i="43"/>
  <c r="C117" i="43"/>
  <c r="H117" i="43"/>
  <c r="B118" i="43"/>
  <c r="C118" i="43"/>
  <c r="H118" i="43"/>
  <c r="B119" i="43"/>
  <c r="C119" i="43"/>
  <c r="H119" i="43"/>
  <c r="B120" i="43"/>
  <c r="C120" i="43"/>
  <c r="H120" i="43"/>
  <c r="B121" i="43"/>
  <c r="C121" i="43"/>
  <c r="H121" i="43"/>
  <c r="B122" i="43"/>
  <c r="C122" i="43"/>
  <c r="H122" i="43"/>
  <c r="B123" i="43"/>
  <c r="C123" i="43"/>
  <c r="H123" i="43"/>
  <c r="B124" i="43"/>
  <c r="C124" i="43"/>
  <c r="H124" i="43"/>
  <c r="I124" i="43"/>
  <c r="B125" i="43"/>
  <c r="C125" i="43"/>
  <c r="H125" i="43"/>
  <c r="B126" i="43"/>
  <c r="C126" i="43"/>
  <c r="H126" i="43"/>
  <c r="B127" i="43"/>
  <c r="C127" i="43"/>
  <c r="H127" i="43"/>
  <c r="B128" i="43"/>
  <c r="C128" i="43"/>
  <c r="H128" i="43"/>
  <c r="B129" i="43"/>
  <c r="C129" i="43"/>
  <c r="H129" i="43"/>
  <c r="B130" i="43"/>
  <c r="C130" i="43"/>
  <c r="H130" i="43"/>
  <c r="B131" i="43"/>
  <c r="C131" i="43"/>
  <c r="H131" i="43"/>
  <c r="I131" i="43"/>
  <c r="B132" i="43"/>
  <c r="C132" i="43"/>
  <c r="H132" i="43"/>
  <c r="B133" i="43"/>
  <c r="C133" i="43"/>
  <c r="H133" i="43"/>
  <c r="B134" i="43"/>
  <c r="C134" i="43"/>
  <c r="H134" i="43"/>
  <c r="B135" i="43"/>
  <c r="C135" i="43"/>
  <c r="H135" i="43"/>
  <c r="B136" i="43"/>
  <c r="C136" i="43"/>
  <c r="H136" i="43"/>
  <c r="B137" i="43"/>
  <c r="C137" i="43"/>
  <c r="H137" i="43"/>
  <c r="B138" i="43"/>
  <c r="C138" i="43"/>
  <c r="H138" i="43"/>
  <c r="B139" i="43"/>
  <c r="C139" i="43"/>
  <c r="H139" i="43"/>
  <c r="B140" i="43"/>
  <c r="C140" i="43"/>
  <c r="H140" i="43"/>
  <c r="I140" i="43"/>
  <c r="B141" i="43"/>
  <c r="C141" i="43"/>
  <c r="H141" i="43"/>
  <c r="I141" i="43"/>
  <c r="B142" i="43"/>
  <c r="C142" i="43"/>
  <c r="H142" i="43"/>
  <c r="I142" i="43"/>
  <c r="B143" i="43"/>
  <c r="C143" i="43"/>
  <c r="H143" i="43"/>
  <c r="B144" i="43"/>
  <c r="C144" i="43"/>
  <c r="H144" i="43"/>
  <c r="B145" i="43"/>
  <c r="C145" i="43"/>
  <c r="H145" i="43"/>
  <c r="B146" i="43"/>
  <c r="C146" i="43"/>
  <c r="H146" i="43"/>
  <c r="B147" i="43"/>
  <c r="C147" i="43"/>
  <c r="H147" i="43"/>
  <c r="B148" i="43"/>
  <c r="C148" i="43"/>
  <c r="H148" i="43"/>
  <c r="B149" i="43"/>
  <c r="C149" i="43"/>
  <c r="H149" i="43"/>
  <c r="B150" i="43"/>
  <c r="C150" i="43"/>
  <c r="H150" i="43"/>
  <c r="B151" i="43"/>
  <c r="C151" i="43"/>
  <c r="H151" i="43"/>
  <c r="B152" i="43"/>
  <c r="C152" i="43"/>
  <c r="H152" i="43"/>
  <c r="B153" i="43"/>
  <c r="C153" i="43"/>
  <c r="H153" i="43"/>
  <c r="B154" i="43"/>
  <c r="C154" i="43"/>
  <c r="H154" i="43"/>
  <c r="B155" i="43"/>
  <c r="C155" i="43"/>
  <c r="H155" i="43"/>
  <c r="B156" i="43"/>
  <c r="C156" i="43"/>
  <c r="H156" i="43"/>
  <c r="B157" i="43"/>
  <c r="C157" i="43"/>
  <c r="H157" i="43"/>
  <c r="B158" i="43"/>
  <c r="C158" i="43"/>
  <c r="H158" i="43"/>
  <c r="A2" i="43" a="1"/>
  <c r="E65" i="41"/>
  <c r="F65" i="41"/>
  <c r="G65" i="41"/>
  <c r="H65" i="41"/>
  <c r="I65" i="41"/>
  <c r="K65" i="41"/>
  <c r="M65" i="41"/>
  <c r="E66" i="41"/>
  <c r="F66" i="41"/>
  <c r="G66" i="41"/>
  <c r="H66" i="41"/>
  <c r="I66" i="41"/>
  <c r="K66" i="41"/>
  <c r="M66" i="41"/>
  <c r="N66" i="41"/>
  <c r="E67" i="41"/>
  <c r="F67" i="41"/>
  <c r="G67" i="41"/>
  <c r="H67" i="41"/>
  <c r="I67" i="41"/>
  <c r="K67" i="41"/>
  <c r="M67" i="41"/>
  <c r="N67" i="41"/>
  <c r="E68" i="41"/>
  <c r="F68" i="41"/>
  <c r="G68" i="41"/>
  <c r="H68" i="41"/>
  <c r="I68" i="41"/>
  <c r="K68" i="41"/>
  <c r="M68" i="41"/>
  <c r="N68" i="41"/>
  <c r="E69" i="41"/>
  <c r="F69" i="41"/>
  <c r="G69" i="41"/>
  <c r="H69" i="41"/>
  <c r="I69" i="41"/>
  <c r="K69" i="41"/>
  <c r="M69" i="41"/>
  <c r="N69" i="41"/>
  <c r="E70" i="41"/>
  <c r="F70" i="41"/>
  <c r="G70" i="41"/>
  <c r="H70" i="41"/>
  <c r="I70" i="41"/>
  <c r="K70" i="41"/>
  <c r="M70" i="41"/>
  <c r="N70" i="41"/>
  <c r="E71" i="41"/>
  <c r="F71" i="41"/>
  <c r="G71" i="41"/>
  <c r="H71" i="41"/>
  <c r="I71" i="41"/>
  <c r="K71" i="41"/>
  <c r="M71" i="41"/>
  <c r="E72" i="41"/>
  <c r="F72" i="41"/>
  <c r="G72" i="41"/>
  <c r="H72" i="41"/>
  <c r="I72" i="41"/>
  <c r="K72" i="41"/>
  <c r="M72" i="41"/>
  <c r="E73" i="41"/>
  <c r="F73" i="41"/>
  <c r="G73" i="41"/>
  <c r="H73" i="41"/>
  <c r="I73" i="41"/>
  <c r="K73" i="41"/>
  <c r="M73" i="41"/>
  <c r="E74" i="41"/>
  <c r="F74" i="41"/>
  <c r="G74" i="41"/>
  <c r="H74" i="41"/>
  <c r="I74" i="41"/>
  <c r="K74" i="41"/>
  <c r="M74" i="41"/>
  <c r="N74" i="41"/>
  <c r="E75" i="41"/>
  <c r="F75" i="41"/>
  <c r="G75" i="41"/>
  <c r="H75" i="41"/>
  <c r="I75" i="41"/>
  <c r="K75" i="41"/>
  <c r="M75" i="41"/>
  <c r="E76" i="41"/>
  <c r="F76" i="41"/>
  <c r="G76" i="41"/>
  <c r="H76" i="41"/>
  <c r="I76" i="41"/>
  <c r="K76" i="41"/>
  <c r="M76" i="41"/>
  <c r="N76" i="41"/>
  <c r="E77" i="41"/>
  <c r="F77" i="41"/>
  <c r="G77" i="41"/>
  <c r="H77" i="41"/>
  <c r="I77" i="41"/>
  <c r="K77" i="41"/>
  <c r="M77" i="41"/>
  <c r="N77" i="41"/>
  <c r="E78" i="41"/>
  <c r="F78" i="41"/>
  <c r="G78" i="41"/>
  <c r="H78" i="41"/>
  <c r="I78" i="41"/>
  <c r="K78" i="41"/>
  <c r="M78" i="41"/>
  <c r="N78" i="41"/>
  <c r="E79" i="41"/>
  <c r="F79" i="41"/>
  <c r="G79" i="41"/>
  <c r="H79" i="41"/>
  <c r="I79" i="41"/>
  <c r="K79" i="41"/>
  <c r="M79" i="41"/>
  <c r="N79" i="41"/>
  <c r="E80" i="41"/>
  <c r="F80" i="41"/>
  <c r="G80" i="41"/>
  <c r="H80" i="41"/>
  <c r="I80" i="41"/>
  <c r="K80" i="41"/>
  <c r="M80" i="41"/>
  <c r="E81" i="41"/>
  <c r="F81" i="41"/>
  <c r="G81" i="41"/>
  <c r="H81" i="41"/>
  <c r="I81" i="41"/>
  <c r="K81" i="41"/>
  <c r="M81" i="41"/>
  <c r="E82" i="41"/>
  <c r="F82" i="41"/>
  <c r="G82" i="41"/>
  <c r="H82" i="41"/>
  <c r="I82" i="41"/>
  <c r="K82" i="41"/>
  <c r="M82" i="41"/>
  <c r="E83" i="41"/>
  <c r="F83" i="41"/>
  <c r="G83" i="41"/>
  <c r="H83" i="41"/>
  <c r="I83" i="41"/>
  <c r="K83" i="41"/>
  <c r="M83" i="41"/>
  <c r="E84" i="41"/>
  <c r="F84" i="41"/>
  <c r="G84" i="41"/>
  <c r="H84" i="41"/>
  <c r="I84" i="41"/>
  <c r="K84" i="41"/>
  <c r="M84" i="41"/>
  <c r="E85" i="41"/>
  <c r="F85" i="41"/>
  <c r="G85" i="41"/>
  <c r="H85" i="41"/>
  <c r="I85" i="41"/>
  <c r="K85" i="41"/>
  <c r="M85" i="41"/>
  <c r="E86" i="41"/>
  <c r="F86" i="41"/>
  <c r="G86" i="41"/>
  <c r="H86" i="41"/>
  <c r="I86" i="41"/>
  <c r="K86" i="41"/>
  <c r="M86" i="41"/>
  <c r="E87" i="41"/>
  <c r="F87" i="41"/>
  <c r="G87" i="41"/>
  <c r="H87" i="41"/>
  <c r="I87" i="41"/>
  <c r="K87" i="41"/>
  <c r="M87" i="41"/>
  <c r="E88" i="41"/>
  <c r="F88" i="41"/>
  <c r="G88" i="41"/>
  <c r="H88" i="41"/>
  <c r="I88" i="41"/>
  <c r="K88" i="41"/>
  <c r="M88" i="41"/>
  <c r="E89" i="41"/>
  <c r="F89" i="41"/>
  <c r="G89" i="41"/>
  <c r="H89" i="41"/>
  <c r="I89" i="41"/>
  <c r="K89" i="41"/>
  <c r="M89" i="41"/>
  <c r="D65" i="41"/>
  <c r="D66" i="41"/>
  <c r="D67" i="41"/>
  <c r="D68" i="41"/>
  <c r="D69" i="41"/>
  <c r="D70" i="41"/>
  <c r="D71" i="41"/>
  <c r="D72" i="41"/>
  <c r="D73" i="41"/>
  <c r="D74" i="41"/>
  <c r="D75" i="41"/>
  <c r="D76" i="41"/>
  <c r="D77" i="41"/>
  <c r="D78" i="41"/>
  <c r="D79" i="41"/>
  <c r="D80" i="41"/>
  <c r="D81" i="41"/>
  <c r="D82" i="41"/>
  <c r="D83" i="41"/>
  <c r="D84" i="41"/>
  <c r="D85" i="41"/>
  <c r="D86" i="41"/>
  <c r="D87" i="41"/>
  <c r="D88" i="41"/>
  <c r="D89" i="41"/>
  <c r="C65" i="41"/>
  <c r="C66" i="41"/>
  <c r="C67" i="41"/>
  <c r="C68" i="41"/>
  <c r="C69" i="41"/>
  <c r="C70" i="41"/>
  <c r="C71" i="41"/>
  <c r="C72" i="41"/>
  <c r="C73" i="41"/>
  <c r="C74" i="41"/>
  <c r="C75" i="41"/>
  <c r="C76" i="41"/>
  <c r="C77" i="41"/>
  <c r="C78" i="41"/>
  <c r="C79" i="41"/>
  <c r="C80" i="41"/>
  <c r="C81" i="41"/>
  <c r="C82" i="41"/>
  <c r="C83" i="41"/>
  <c r="C84" i="41"/>
  <c r="C85" i="41"/>
  <c r="C86" i="41"/>
  <c r="C87" i="41"/>
  <c r="C88" i="41"/>
  <c r="C89" i="41"/>
  <c r="A65" i="41"/>
  <c r="A66" i="41"/>
  <c r="A67" i="41"/>
  <c r="A68" i="41"/>
  <c r="A69" i="41"/>
  <c r="A70" i="41"/>
  <c r="A71" i="41"/>
  <c r="A72" i="41"/>
  <c r="A73" i="41"/>
  <c r="A74" i="41"/>
  <c r="A75" i="41"/>
  <c r="A76" i="41"/>
  <c r="A77" i="41"/>
  <c r="A78" i="41"/>
  <c r="A79" i="41"/>
  <c r="A80" i="41"/>
  <c r="A81" i="41"/>
  <c r="A82" i="41"/>
  <c r="A83" i="41"/>
  <c r="A84" i="41"/>
  <c r="A85" i="41"/>
  <c r="A86" i="41"/>
  <c r="A87" i="41"/>
  <c r="A88" i="41"/>
  <c r="A89" i="41"/>
  <c r="A90" i="41"/>
  <c r="B90" i="41"/>
  <c r="B91" i="41"/>
  <c r="B92" i="41"/>
  <c r="B86" i="41"/>
  <c r="B87" i="41"/>
  <c r="B88" i="41"/>
  <c r="B89" i="41"/>
  <c r="B83" i="41"/>
  <c r="B84" i="41"/>
  <c r="B85" i="41"/>
  <c r="B78" i="41"/>
  <c r="B79" i="41"/>
  <c r="B80" i="41"/>
  <c r="B81" i="41"/>
  <c r="B82" i="41"/>
  <c r="B67" i="41"/>
  <c r="B68" i="41"/>
  <c r="B69" i="41"/>
  <c r="B70" i="41"/>
  <c r="B71" i="41"/>
  <c r="B72" i="41"/>
  <c r="B73" i="41"/>
  <c r="B74" i="41"/>
  <c r="B75" i="41"/>
  <c r="B76" i="41"/>
  <c r="B77" i="41"/>
  <c r="D36" i="40"/>
  <c r="D37" i="40"/>
  <c r="D38" i="40"/>
  <c r="D39" i="40"/>
  <c r="D40" i="40"/>
  <c r="D41" i="40"/>
  <c r="D42" i="40"/>
  <c r="D43" i="40"/>
  <c r="D44" i="40"/>
  <c r="D45" i="40"/>
  <c r="B36" i="40"/>
  <c r="B37" i="40"/>
  <c r="B38" i="40"/>
  <c r="B39" i="40"/>
  <c r="B40" i="40"/>
  <c r="B41" i="40"/>
  <c r="B42" i="40"/>
  <c r="B43" i="40"/>
  <c r="B44" i="40"/>
  <c r="B45" i="40"/>
  <c r="A34" i="40"/>
  <c r="A35" i="40"/>
  <c r="A36" i="40"/>
  <c r="A37" i="40"/>
  <c r="A38" i="40"/>
  <c r="A39" i="40"/>
  <c r="A40" i="40"/>
  <c r="A41" i="40"/>
  <c r="A42" i="40"/>
  <c r="A43" i="40"/>
  <c r="A44" i="40"/>
  <c r="A45" i="40"/>
  <c r="K158" i="6"/>
  <c r="J158" i="6"/>
  <c r="I158" i="6"/>
  <c r="G158" i="6"/>
  <c r="H158" i="6"/>
  <c r="K157" i="6"/>
  <c r="J157" i="6"/>
  <c r="I157" i="6"/>
  <c r="H157" i="6"/>
  <c r="G157" i="6"/>
  <c r="I156" i="6"/>
  <c r="H156" i="6"/>
  <c r="G156" i="6"/>
  <c r="R46" i="26"/>
  <c r="Q46" i="26"/>
  <c r="C46" i="26"/>
  <c r="Z89" i="1" a="1"/>
  <c r="I155" i="6"/>
  <c r="H155" i="6"/>
  <c r="G155" i="6"/>
  <c r="I154" i="6"/>
  <c r="H154" i="6"/>
  <c r="G154" i="6"/>
  <c r="I153" i="6"/>
  <c r="H153" i="6"/>
  <c r="G153" i="6"/>
  <c r="Z88" i="1" a="1"/>
  <c r="I152" i="6"/>
  <c r="H152" i="6"/>
  <c r="G152" i="6"/>
  <c r="I151" i="6"/>
  <c r="H151" i="6"/>
  <c r="G151" i="6"/>
  <c r="I150" i="6"/>
  <c r="G150" i="6"/>
  <c r="H150" i="6"/>
  <c r="I149" i="6"/>
  <c r="H149" i="6"/>
  <c r="G149" i="6"/>
  <c r="I148" i="6"/>
  <c r="G148" i="6"/>
  <c r="H148" i="6"/>
  <c r="Z87" i="1" a="1"/>
  <c r="I147" i="6"/>
  <c r="H147" i="6"/>
  <c r="G147" i="6"/>
  <c r="I146" i="6"/>
  <c r="H146" i="6"/>
  <c r="G146" i="6"/>
  <c r="I145" i="6"/>
  <c r="H145" i="6"/>
  <c r="G145" i="6"/>
  <c r="Z85" i="1" a="1"/>
  <c r="I144" i="6"/>
  <c r="G144" i="6"/>
  <c r="H144" i="6"/>
  <c r="I143" i="6"/>
  <c r="G143" i="6"/>
  <c r="H143" i="6"/>
  <c r="I142" i="6"/>
  <c r="G142" i="6"/>
  <c r="H142" i="6"/>
  <c r="AC16" i="1"/>
  <c r="AA16" i="1"/>
  <c r="Z16" i="1" a="1"/>
  <c r="W16" i="1"/>
  <c r="I141" i="6"/>
  <c r="H141" i="6"/>
  <c r="G141" i="6"/>
  <c r="Z84" i="1" a="1"/>
  <c r="I140" i="6"/>
  <c r="G140" i="6"/>
  <c r="H140" i="6"/>
  <c r="I139" i="6"/>
  <c r="H139" i="6"/>
  <c r="G139" i="6"/>
  <c r="I138" i="6"/>
  <c r="G138" i="6"/>
  <c r="H138" i="6"/>
  <c r="I135" i="6"/>
  <c r="I136" i="6"/>
  <c r="I137" i="6"/>
  <c r="H135" i="6"/>
  <c r="H136" i="6"/>
  <c r="H137" i="6"/>
  <c r="G135" i="6"/>
  <c r="G136" i="6"/>
  <c r="G137" i="6"/>
  <c r="AC74" i="1"/>
  <c r="AC75" i="1"/>
  <c r="AA74" i="1"/>
  <c r="AA75" i="1"/>
  <c r="Z74" i="1" a="1"/>
  <c r="Z75" i="1" a="1"/>
  <c r="W74" i="1"/>
  <c r="W75" i="1"/>
  <c r="AC70" i="1"/>
  <c r="AA70" i="1"/>
  <c r="Z70" i="1" a="1"/>
  <c r="W70" i="1"/>
  <c r="Z83" i="1" a="1"/>
  <c r="Q5" i="22"/>
  <c r="P5" i="22"/>
  <c r="Q5" i="12"/>
  <c r="P5" i="12"/>
  <c r="S5" i="12" s="1"/>
  <c r="Z82" i="1" a="1"/>
  <c r="Z81" i="1" a="1"/>
  <c r="Z80" i="1" a="1"/>
  <c r="Z79" i="1" a="1"/>
  <c r="Z78" i="1" a="1"/>
  <c r="I134" i="6"/>
  <c r="H134" i="6"/>
  <c r="G134" i="6"/>
  <c r="I133" i="6"/>
  <c r="H133" i="6"/>
  <c r="G133" i="6"/>
  <c r="Z77" i="1" a="1"/>
  <c r="I132" i="6"/>
  <c r="G132" i="6"/>
  <c r="H132" i="6"/>
  <c r="I131" i="6"/>
  <c r="G131" i="6"/>
  <c r="H131" i="6"/>
  <c r="I130" i="6"/>
  <c r="G130" i="6"/>
  <c r="H130" i="6"/>
  <c r="I129" i="6"/>
  <c r="H129" i="6"/>
  <c r="G129" i="6"/>
  <c r="I128" i="6"/>
  <c r="H128" i="6"/>
  <c r="G128" i="6"/>
  <c r="I127" i="6"/>
  <c r="H127" i="6"/>
  <c r="G127" i="6"/>
  <c r="I126" i="6"/>
  <c r="H126" i="6"/>
  <c r="G126" i="6"/>
  <c r="I125" i="6"/>
  <c r="H125" i="6"/>
  <c r="G125" i="6"/>
  <c r="I124" i="6"/>
  <c r="G124" i="6"/>
  <c r="H124" i="6"/>
  <c r="Z73" i="1" a="1"/>
  <c r="I123" i="6"/>
  <c r="G123" i="6"/>
  <c r="H123" i="6"/>
  <c r="I122" i="6"/>
  <c r="H122" i="6"/>
  <c r="G122" i="6"/>
  <c r="I121" i="6"/>
  <c r="H121" i="6"/>
  <c r="G121" i="6"/>
  <c r="Z72" i="1" a="1"/>
  <c r="I120" i="6"/>
  <c r="G120" i="6"/>
  <c r="H120" i="6"/>
  <c r="Z71" i="1" a="1"/>
  <c r="I119" i="6"/>
  <c r="H119" i="6"/>
  <c r="G119" i="6"/>
  <c r="I118" i="6"/>
  <c r="H118" i="6"/>
  <c r="G118" i="6"/>
  <c r="I117" i="6"/>
  <c r="G117" i="6"/>
  <c r="H117" i="6"/>
  <c r="I116" i="6"/>
  <c r="G116" i="6"/>
  <c r="H116" i="6"/>
  <c r="Z69" i="1" a="1"/>
  <c r="I115" i="6"/>
  <c r="G115" i="6"/>
  <c r="H115" i="6"/>
  <c r="I114" i="6"/>
  <c r="H114" i="6"/>
  <c r="G114" i="6"/>
  <c r="I113" i="6"/>
  <c r="H113" i="6"/>
  <c r="G113" i="6"/>
  <c r="I112" i="6"/>
  <c r="G112" i="6"/>
  <c r="H112" i="6"/>
  <c r="I111" i="6"/>
  <c r="G111" i="6"/>
  <c r="H111" i="6"/>
  <c r="I110" i="6"/>
  <c r="H110" i="6"/>
  <c r="G110" i="6"/>
  <c r="Z68" i="1" a="1"/>
  <c r="Z67" i="1" a="1"/>
  <c r="Z65" i="1" a="1"/>
  <c r="I109" i="6"/>
  <c r="G109" i="6"/>
  <c r="H109" i="6"/>
  <c r="I108" i="6"/>
  <c r="G108" i="6"/>
  <c r="H108" i="6"/>
  <c r="I107" i="6"/>
  <c r="H107" i="6"/>
  <c r="G107" i="6"/>
  <c r="I106" i="6"/>
  <c r="H106" i="6"/>
  <c r="G106" i="6"/>
  <c r="H105" i="6"/>
  <c r="AM35" i="1"/>
  <c r="I105" i="6"/>
  <c r="J105" i="6" s="1"/>
  <c r="G105" i="6"/>
  <c r="A2" i="42" a="1"/>
  <c r="A2" i="41"/>
  <c r="E3" i="41"/>
  <c r="E4" i="41"/>
  <c r="E5" i="41"/>
  <c r="E6" i="41"/>
  <c r="E7" i="41"/>
  <c r="E8" i="41"/>
  <c r="E9" i="41"/>
  <c r="E10" i="41"/>
  <c r="E11" i="41"/>
  <c r="E12" i="41"/>
  <c r="E13" i="41"/>
  <c r="E14" i="41"/>
  <c r="E15" i="41"/>
  <c r="E17" i="41"/>
  <c r="E18" i="41"/>
  <c r="E19" i="41"/>
  <c r="E20" i="41"/>
  <c r="E21" i="41"/>
  <c r="E22" i="41"/>
  <c r="E23" i="41"/>
  <c r="E24" i="41"/>
  <c r="E25" i="41"/>
  <c r="E26" i="41"/>
  <c r="E27" i="41"/>
  <c r="E28" i="41"/>
  <c r="E29" i="41"/>
  <c r="E30" i="41"/>
  <c r="E31" i="41"/>
  <c r="E32" i="41"/>
  <c r="E33" i="41"/>
  <c r="E34" i="41"/>
  <c r="E35" i="41"/>
  <c r="E36" i="41"/>
  <c r="E37" i="41"/>
  <c r="E38" i="41"/>
  <c r="E39" i="41"/>
  <c r="E40" i="41"/>
  <c r="E41" i="41"/>
  <c r="E42" i="41"/>
  <c r="E43" i="41"/>
  <c r="E44" i="41"/>
  <c r="E45" i="41"/>
  <c r="E46" i="41"/>
  <c r="E47" i="41"/>
  <c r="E48" i="41"/>
  <c r="E49" i="41"/>
  <c r="E50" i="41"/>
  <c r="E51" i="41"/>
  <c r="E52" i="41"/>
  <c r="E53" i="41"/>
  <c r="E54" i="41"/>
  <c r="E55" i="41"/>
  <c r="E56" i="41"/>
  <c r="E57" i="41"/>
  <c r="E58" i="41"/>
  <c r="E59" i="41"/>
  <c r="E60" i="41"/>
  <c r="E61" i="41"/>
  <c r="E62" i="41"/>
  <c r="E63" i="41"/>
  <c r="E64" i="41"/>
  <c r="E2" i="41"/>
  <c r="H3" i="41"/>
  <c r="H4" i="41"/>
  <c r="H5" i="41"/>
  <c r="H6" i="41"/>
  <c r="H7" i="41"/>
  <c r="H8" i="41"/>
  <c r="H9" i="41"/>
  <c r="H10" i="41"/>
  <c r="H11" i="41"/>
  <c r="H12" i="41"/>
  <c r="H13" i="41"/>
  <c r="H14" i="41"/>
  <c r="H15" i="41"/>
  <c r="H17" i="41"/>
  <c r="H18" i="41"/>
  <c r="H19" i="41"/>
  <c r="H20" i="41"/>
  <c r="H21" i="41"/>
  <c r="H22" i="41"/>
  <c r="H23" i="41"/>
  <c r="H24" i="41"/>
  <c r="H25" i="41"/>
  <c r="H26" i="41"/>
  <c r="H27" i="41"/>
  <c r="H28" i="41"/>
  <c r="H29" i="41"/>
  <c r="H30" i="41"/>
  <c r="H31" i="41"/>
  <c r="H32" i="41"/>
  <c r="H33" i="41"/>
  <c r="H34" i="41"/>
  <c r="H35" i="41"/>
  <c r="H36" i="41"/>
  <c r="H37" i="41"/>
  <c r="H38" i="41"/>
  <c r="H39" i="41"/>
  <c r="H40" i="41"/>
  <c r="H41" i="41"/>
  <c r="H42" i="41"/>
  <c r="H43" i="41"/>
  <c r="H44" i="41"/>
  <c r="H45" i="41"/>
  <c r="H46" i="41"/>
  <c r="H47" i="41"/>
  <c r="H48" i="41"/>
  <c r="H49" i="41"/>
  <c r="H50" i="41"/>
  <c r="H51" i="41"/>
  <c r="H52" i="41"/>
  <c r="H53" i="41"/>
  <c r="H54" i="41"/>
  <c r="H55" i="41"/>
  <c r="H56" i="41"/>
  <c r="H57" i="41"/>
  <c r="H58" i="41"/>
  <c r="H59" i="41"/>
  <c r="H60" i="41"/>
  <c r="H61" i="41"/>
  <c r="H62" i="41"/>
  <c r="H63" i="41"/>
  <c r="H64" i="41"/>
  <c r="H2" i="41"/>
  <c r="I3" i="41"/>
  <c r="I4" i="41"/>
  <c r="I5" i="41"/>
  <c r="I6" i="41"/>
  <c r="I7" i="41"/>
  <c r="I8" i="41"/>
  <c r="I9" i="41"/>
  <c r="I10" i="41"/>
  <c r="I11" i="41"/>
  <c r="I12" i="41"/>
  <c r="I13" i="41"/>
  <c r="I14" i="41"/>
  <c r="I15" i="41"/>
  <c r="I17" i="41"/>
  <c r="I18" i="41"/>
  <c r="I19" i="41"/>
  <c r="I20" i="41"/>
  <c r="I21" i="41"/>
  <c r="I22" i="41"/>
  <c r="I23" i="41"/>
  <c r="I24" i="41"/>
  <c r="I25" i="41"/>
  <c r="I26" i="41"/>
  <c r="I27" i="41"/>
  <c r="I28" i="41"/>
  <c r="I29" i="41"/>
  <c r="I30" i="41"/>
  <c r="I31" i="41"/>
  <c r="I32" i="41"/>
  <c r="I33" i="41"/>
  <c r="I34" i="41"/>
  <c r="I35" i="41"/>
  <c r="I36" i="41"/>
  <c r="I37" i="41"/>
  <c r="I38" i="41"/>
  <c r="I39" i="41"/>
  <c r="I40" i="41"/>
  <c r="I41" i="41"/>
  <c r="I42" i="41"/>
  <c r="I43" i="41"/>
  <c r="I44" i="41"/>
  <c r="I45" i="41"/>
  <c r="I46" i="41"/>
  <c r="I47" i="41"/>
  <c r="I48" i="41"/>
  <c r="I49" i="41"/>
  <c r="I50" i="41"/>
  <c r="I51" i="41"/>
  <c r="I52" i="41"/>
  <c r="I53" i="41"/>
  <c r="I54" i="41"/>
  <c r="I55" i="41"/>
  <c r="I56" i="41"/>
  <c r="I57" i="41"/>
  <c r="I58" i="41"/>
  <c r="I59" i="41"/>
  <c r="I60" i="41"/>
  <c r="I61" i="41"/>
  <c r="I62" i="41"/>
  <c r="I63" i="41"/>
  <c r="I64" i="41"/>
  <c r="I2" i="41"/>
  <c r="F2" i="41"/>
  <c r="M3" i="41"/>
  <c r="N3" i="41" s="1"/>
  <c r="M4" i="41"/>
  <c r="N4" i="41" s="1"/>
  <c r="M5" i="41"/>
  <c r="N5" i="41" s="1"/>
  <c r="M6" i="41"/>
  <c r="N6" i="41" s="1"/>
  <c r="M7" i="41"/>
  <c r="N7" i="41" s="1"/>
  <c r="M8" i="41"/>
  <c r="N8" i="41" s="1"/>
  <c r="M9" i="41"/>
  <c r="N9" i="41" s="1"/>
  <c r="M10" i="41"/>
  <c r="N10" i="41" s="1"/>
  <c r="M11" i="41"/>
  <c r="N11" i="41" s="1"/>
  <c r="M12" i="41"/>
  <c r="N12" i="41" s="1"/>
  <c r="M13" i="41"/>
  <c r="N13" i="41" s="1"/>
  <c r="M14" i="41"/>
  <c r="N14" i="41" s="1"/>
  <c r="M15" i="41"/>
  <c r="N15" i="41" s="1"/>
  <c r="M17" i="41"/>
  <c r="N17" i="41" s="1"/>
  <c r="M18" i="41"/>
  <c r="N18" i="41" s="1"/>
  <c r="M19" i="41"/>
  <c r="N19" i="41" s="1"/>
  <c r="M20" i="41"/>
  <c r="N20" i="41" s="1"/>
  <c r="M21" i="41"/>
  <c r="N21" i="41" s="1"/>
  <c r="M22" i="41"/>
  <c r="N22" i="41" s="1"/>
  <c r="M23" i="41"/>
  <c r="N23" i="41" s="1"/>
  <c r="M24" i="41"/>
  <c r="N24" i="41" s="1"/>
  <c r="M25" i="41"/>
  <c r="N25" i="41" s="1"/>
  <c r="M26" i="41"/>
  <c r="N26" i="41" s="1"/>
  <c r="M27" i="41"/>
  <c r="N27" i="41" s="1"/>
  <c r="M28" i="41"/>
  <c r="N28" i="41" s="1"/>
  <c r="M29" i="41"/>
  <c r="N29" i="41" s="1"/>
  <c r="M30" i="41"/>
  <c r="N30" i="41" s="1"/>
  <c r="M31" i="41"/>
  <c r="N31" i="41" s="1"/>
  <c r="M32" i="41"/>
  <c r="N32" i="41" s="1"/>
  <c r="M33" i="41"/>
  <c r="N33" i="41" s="1"/>
  <c r="M34" i="41"/>
  <c r="N34" i="41" s="1"/>
  <c r="M35" i="41"/>
  <c r="N35" i="41" s="1"/>
  <c r="M36" i="41"/>
  <c r="N36" i="41" s="1"/>
  <c r="M37" i="41"/>
  <c r="N37" i="41" s="1"/>
  <c r="M38" i="41"/>
  <c r="N38" i="41" s="1"/>
  <c r="M39" i="41"/>
  <c r="N39" i="41" s="1"/>
  <c r="M40" i="41"/>
  <c r="N40" i="41" s="1"/>
  <c r="M41" i="41"/>
  <c r="N41" i="41" s="1"/>
  <c r="M42" i="41"/>
  <c r="N42" i="41" s="1"/>
  <c r="M43" i="41"/>
  <c r="N43" i="41" s="1"/>
  <c r="M44" i="41"/>
  <c r="N44" i="41" s="1"/>
  <c r="M45" i="41"/>
  <c r="N45" i="41" s="1"/>
  <c r="M46" i="41"/>
  <c r="N46" i="41" s="1"/>
  <c r="M47" i="41"/>
  <c r="N47" i="41" s="1"/>
  <c r="M48" i="41"/>
  <c r="N48" i="41" s="1"/>
  <c r="M49" i="41"/>
  <c r="N49" i="41" s="1"/>
  <c r="M50" i="41"/>
  <c r="N50" i="41" s="1"/>
  <c r="M51" i="41"/>
  <c r="N51" i="41" s="1"/>
  <c r="M52" i="41"/>
  <c r="N52" i="41" s="1"/>
  <c r="M53" i="41"/>
  <c r="N53" i="41" s="1"/>
  <c r="M54" i="41"/>
  <c r="N54" i="41" s="1"/>
  <c r="M55" i="41"/>
  <c r="N55" i="41" s="1"/>
  <c r="M56" i="41"/>
  <c r="N56" i="41" s="1"/>
  <c r="M57" i="41"/>
  <c r="N57" i="41" s="1"/>
  <c r="M58" i="41"/>
  <c r="N58" i="41" s="1"/>
  <c r="M59" i="41"/>
  <c r="N59" i="41" s="1"/>
  <c r="M60" i="41"/>
  <c r="N60" i="41" s="1"/>
  <c r="M61" i="41"/>
  <c r="N61" i="41" s="1"/>
  <c r="M62" i="41"/>
  <c r="N62" i="41" s="1"/>
  <c r="M63" i="41"/>
  <c r="N63" i="41" s="1"/>
  <c r="M64" i="41"/>
  <c r="N64" i="41" s="1"/>
  <c r="M2" i="41"/>
  <c r="N2" i="41" s="1"/>
  <c r="K3" i="41"/>
  <c r="K4" i="41"/>
  <c r="K5" i="41"/>
  <c r="K6" i="41"/>
  <c r="K7" i="41"/>
  <c r="K8" i="41"/>
  <c r="K9" i="41"/>
  <c r="K10" i="41"/>
  <c r="K11" i="41"/>
  <c r="K12" i="41"/>
  <c r="K13" i="41"/>
  <c r="K14" i="41"/>
  <c r="K15" i="41"/>
  <c r="K17" i="41"/>
  <c r="K18" i="41"/>
  <c r="K19" i="41"/>
  <c r="K20" i="41"/>
  <c r="K21" i="41"/>
  <c r="K22" i="41"/>
  <c r="K23" i="41"/>
  <c r="K24" i="41"/>
  <c r="K25" i="41"/>
  <c r="K26" i="41"/>
  <c r="K27" i="41"/>
  <c r="K28" i="41"/>
  <c r="K29" i="41"/>
  <c r="K30" i="41"/>
  <c r="K31" i="41"/>
  <c r="K32" i="41"/>
  <c r="K33" i="41"/>
  <c r="K34" i="41"/>
  <c r="K35" i="41"/>
  <c r="K36" i="41"/>
  <c r="K37" i="41"/>
  <c r="K38" i="41"/>
  <c r="K39" i="41"/>
  <c r="K40" i="41"/>
  <c r="K41" i="41"/>
  <c r="K42" i="41"/>
  <c r="K43" i="41"/>
  <c r="K44" i="41"/>
  <c r="K45" i="41"/>
  <c r="K46" i="41"/>
  <c r="K47" i="41"/>
  <c r="K48" i="41"/>
  <c r="K49" i="41"/>
  <c r="K50" i="41"/>
  <c r="K51" i="41"/>
  <c r="K52" i="41"/>
  <c r="K53" i="41"/>
  <c r="K54" i="41"/>
  <c r="K55" i="41"/>
  <c r="K56" i="41"/>
  <c r="K57" i="41"/>
  <c r="K58" i="41"/>
  <c r="K59" i="41"/>
  <c r="K60" i="41"/>
  <c r="K61" i="41"/>
  <c r="K62" i="41"/>
  <c r="K63" i="41"/>
  <c r="K64" i="41"/>
  <c r="K2" i="41"/>
  <c r="W32" i="1"/>
  <c r="G32" i="41" s="1"/>
  <c r="D3" i="41"/>
  <c r="D4" i="41"/>
  <c r="D5" i="41"/>
  <c r="D6" i="41"/>
  <c r="D7" i="41"/>
  <c r="D8" i="41"/>
  <c r="D9" i="41"/>
  <c r="D10" i="41"/>
  <c r="D11" i="41"/>
  <c r="D12" i="41"/>
  <c r="D13" i="41"/>
  <c r="D14" i="41"/>
  <c r="D15" i="41"/>
  <c r="D17" i="41"/>
  <c r="D18" i="41"/>
  <c r="D19" i="41"/>
  <c r="D20" i="41"/>
  <c r="D21" i="41"/>
  <c r="D22" i="41"/>
  <c r="D23" i="41"/>
  <c r="D24" i="41"/>
  <c r="D25" i="41"/>
  <c r="D26" i="41"/>
  <c r="D27" i="41"/>
  <c r="D28" i="41"/>
  <c r="D29" i="41"/>
  <c r="D30" i="41"/>
  <c r="D31" i="41"/>
  <c r="D32" i="41"/>
  <c r="D33" i="41"/>
  <c r="D34" i="41"/>
  <c r="D35" i="41"/>
  <c r="D36" i="41"/>
  <c r="D37" i="41"/>
  <c r="D38" i="41"/>
  <c r="D39" i="41"/>
  <c r="D40" i="41"/>
  <c r="D41" i="41"/>
  <c r="D42" i="41"/>
  <c r="D43" i="41"/>
  <c r="D44" i="41"/>
  <c r="D45" i="41"/>
  <c r="D46" i="41"/>
  <c r="D47" i="41"/>
  <c r="D48" i="41"/>
  <c r="D49" i="41"/>
  <c r="D50" i="41"/>
  <c r="D51" i="41"/>
  <c r="D52" i="41"/>
  <c r="D53" i="41"/>
  <c r="D54" i="41"/>
  <c r="D55" i="41"/>
  <c r="D56" i="41"/>
  <c r="D57" i="41"/>
  <c r="D58" i="41"/>
  <c r="D59" i="41"/>
  <c r="D60" i="41"/>
  <c r="D61" i="41"/>
  <c r="D62" i="41"/>
  <c r="D63" i="41"/>
  <c r="D64" i="41"/>
  <c r="D2" i="41"/>
  <c r="C2" i="41"/>
  <c r="F3" i="41"/>
  <c r="F4" i="41"/>
  <c r="F5" i="41"/>
  <c r="F6" i="41"/>
  <c r="F7" i="41"/>
  <c r="F8" i="41"/>
  <c r="F9" i="41"/>
  <c r="F10" i="41"/>
  <c r="F11" i="41"/>
  <c r="F12" i="41"/>
  <c r="F13" i="41"/>
  <c r="F14" i="41"/>
  <c r="F15" i="41"/>
  <c r="F17" i="41"/>
  <c r="F18" i="41"/>
  <c r="F19" i="41"/>
  <c r="F20" i="41"/>
  <c r="F21" i="41"/>
  <c r="F22" i="41"/>
  <c r="F23" i="41"/>
  <c r="F24" i="41"/>
  <c r="F25" i="41"/>
  <c r="F26" i="41"/>
  <c r="F27" i="41"/>
  <c r="F28" i="41"/>
  <c r="F29" i="41"/>
  <c r="F30" i="41"/>
  <c r="F31" i="41"/>
  <c r="F32" i="41"/>
  <c r="F33" i="41"/>
  <c r="F34" i="41"/>
  <c r="F35" i="41"/>
  <c r="F36" i="41"/>
  <c r="F37" i="41"/>
  <c r="F38" i="41"/>
  <c r="F39" i="41"/>
  <c r="F40" i="41"/>
  <c r="F41" i="41"/>
  <c r="F42" i="41"/>
  <c r="F43" i="41"/>
  <c r="F44" i="41"/>
  <c r="F45" i="41"/>
  <c r="F46" i="41"/>
  <c r="F47" i="41"/>
  <c r="F48" i="41"/>
  <c r="F49" i="41"/>
  <c r="F50" i="41"/>
  <c r="F51" i="41"/>
  <c r="F52" i="41"/>
  <c r="F53" i="41"/>
  <c r="F54" i="41"/>
  <c r="F55" i="41"/>
  <c r="F56" i="41"/>
  <c r="F57" i="41"/>
  <c r="F58" i="41"/>
  <c r="F59" i="41"/>
  <c r="F60" i="41"/>
  <c r="F61" i="41"/>
  <c r="F62" i="41"/>
  <c r="F63" i="41"/>
  <c r="F64" i="41"/>
  <c r="C3" i="41"/>
  <c r="C4" i="41"/>
  <c r="C5" i="41"/>
  <c r="C6" i="41"/>
  <c r="C7" i="41"/>
  <c r="C8" i="41"/>
  <c r="C9" i="41"/>
  <c r="C10" i="41"/>
  <c r="C11" i="41"/>
  <c r="C12" i="41"/>
  <c r="C13" i="41"/>
  <c r="C14" i="41"/>
  <c r="C15" i="41"/>
  <c r="C17" i="41"/>
  <c r="C18" i="41"/>
  <c r="C19" i="41"/>
  <c r="C20" i="41"/>
  <c r="C21" i="41"/>
  <c r="C22" i="41"/>
  <c r="C23" i="41"/>
  <c r="C24" i="41"/>
  <c r="C25" i="41"/>
  <c r="C26" i="41"/>
  <c r="C27" i="41"/>
  <c r="C28" i="41"/>
  <c r="C29" i="41"/>
  <c r="C30" i="41"/>
  <c r="C31" i="41"/>
  <c r="C32" i="41"/>
  <c r="C33" i="41"/>
  <c r="C34" i="41"/>
  <c r="C35" i="41"/>
  <c r="C36" i="41"/>
  <c r="C37" i="41"/>
  <c r="C38" i="41"/>
  <c r="C39" i="41"/>
  <c r="C40" i="41"/>
  <c r="C41" i="41"/>
  <c r="C42" i="41"/>
  <c r="C43" i="41"/>
  <c r="C44" i="41"/>
  <c r="C45" i="41"/>
  <c r="C46" i="41"/>
  <c r="C47" i="41"/>
  <c r="C48" i="41"/>
  <c r="C49" i="41"/>
  <c r="C50" i="41"/>
  <c r="C51" i="41"/>
  <c r="C52" i="41"/>
  <c r="C53" i="41"/>
  <c r="C54" i="41"/>
  <c r="C55" i="41"/>
  <c r="C56" i="41"/>
  <c r="C57" i="41"/>
  <c r="C58" i="41"/>
  <c r="C59" i="41"/>
  <c r="C60" i="41"/>
  <c r="C61" i="41"/>
  <c r="C62" i="41"/>
  <c r="C63" i="41"/>
  <c r="C64" i="41"/>
  <c r="B2" i="41"/>
  <c r="A3" i="41"/>
  <c r="A4" i="41"/>
  <c r="A5" i="41"/>
  <c r="A6" i="41"/>
  <c r="A7" i="41"/>
  <c r="A8" i="41"/>
  <c r="A9" i="41"/>
  <c r="A10" i="41"/>
  <c r="A11" i="41"/>
  <c r="A12" i="41"/>
  <c r="A13" i="41"/>
  <c r="A14" i="41"/>
  <c r="A15" i="41"/>
  <c r="A17" i="41"/>
  <c r="A18" i="41"/>
  <c r="A19" i="41"/>
  <c r="A20" i="41"/>
  <c r="A21" i="41"/>
  <c r="A22" i="41"/>
  <c r="A23" i="41"/>
  <c r="A24" i="41"/>
  <c r="A25" i="41"/>
  <c r="A26" i="41"/>
  <c r="A27" i="41"/>
  <c r="A28" i="41"/>
  <c r="A29" i="41"/>
  <c r="A30" i="41"/>
  <c r="A31" i="41"/>
  <c r="A32" i="41"/>
  <c r="A33" i="41"/>
  <c r="A34" i="41"/>
  <c r="A35" i="41"/>
  <c r="A36" i="41"/>
  <c r="A37" i="41"/>
  <c r="A38" i="41"/>
  <c r="A39" i="41"/>
  <c r="A40" i="41"/>
  <c r="A41" i="41"/>
  <c r="A42" i="41"/>
  <c r="A43" i="41"/>
  <c r="A44" i="41"/>
  <c r="A45" i="41"/>
  <c r="A46" i="41"/>
  <c r="A47" i="41"/>
  <c r="A48" i="41"/>
  <c r="A49" i="41"/>
  <c r="A50" i="41"/>
  <c r="A51" i="41"/>
  <c r="A52" i="41"/>
  <c r="A53" i="41"/>
  <c r="A54" i="41"/>
  <c r="A55" i="41"/>
  <c r="A56" i="41"/>
  <c r="A57" i="41"/>
  <c r="A58" i="41"/>
  <c r="A59" i="41"/>
  <c r="A60" i="41"/>
  <c r="A61" i="41"/>
  <c r="A62" i="41"/>
  <c r="A63" i="41"/>
  <c r="A64" i="41"/>
  <c r="B63" i="41"/>
  <c r="B64" i="41"/>
  <c r="B65" i="41"/>
  <c r="B66" i="41"/>
  <c r="B54" i="41"/>
  <c r="B55" i="41"/>
  <c r="B56" i="41"/>
  <c r="B57" i="41"/>
  <c r="B58" i="41"/>
  <c r="B59" i="41"/>
  <c r="B60" i="41"/>
  <c r="B61" i="41"/>
  <c r="B62" i="41"/>
  <c r="B46" i="41"/>
  <c r="B47" i="41"/>
  <c r="B48" i="41"/>
  <c r="B49" i="41"/>
  <c r="B50" i="41"/>
  <c r="B51" i="41"/>
  <c r="B52" i="41"/>
  <c r="B53" i="41"/>
  <c r="B3" i="41"/>
  <c r="B4" i="41"/>
  <c r="B5" i="41"/>
  <c r="B6" i="41"/>
  <c r="B7" i="41"/>
  <c r="B8" i="41"/>
  <c r="B9" i="41"/>
  <c r="B10" i="41"/>
  <c r="B11" i="41"/>
  <c r="B12" i="41"/>
  <c r="B13" i="41"/>
  <c r="B14" i="41"/>
  <c r="B15"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44" i="41"/>
  <c r="B45" i="41"/>
  <c r="G101" i="6"/>
  <c r="C2" i="40" a="1"/>
  <c r="A3" i="26" a="1"/>
  <c r="Z64" i="1" a="1"/>
  <c r="I104" i="6"/>
  <c r="G104" i="6"/>
  <c r="H104" i="6"/>
  <c r="Z63" i="1" a="1"/>
  <c r="I103" i="6"/>
  <c r="G103" i="6"/>
  <c r="H103" i="6"/>
  <c r="I102" i="6"/>
  <c r="G102" i="6"/>
  <c r="H102" i="6"/>
  <c r="I101" i="6"/>
  <c r="H101" i="6"/>
  <c r="I100" i="6"/>
  <c r="H100" i="6"/>
  <c r="G100" i="6"/>
  <c r="I99" i="6"/>
  <c r="H99" i="6"/>
  <c r="G99" i="6"/>
  <c r="I98" i="6"/>
  <c r="H98" i="6"/>
  <c r="G98" i="6"/>
  <c r="Z62" i="1" a="1"/>
  <c r="I97" i="6"/>
  <c r="H97" i="6"/>
  <c r="G97" i="6"/>
  <c r="I96" i="6"/>
  <c r="H96" i="6"/>
  <c r="G96" i="6"/>
  <c r="I95" i="6"/>
  <c r="G95" i="6"/>
  <c r="H95" i="6"/>
  <c r="I94" i="6"/>
  <c r="G94" i="6"/>
  <c r="H94" i="6"/>
  <c r="I93" i="6"/>
  <c r="G93" i="6"/>
  <c r="H93" i="6"/>
  <c r="AC17" i="1"/>
  <c r="AA17" i="1"/>
  <c r="Z17" i="1" a="1"/>
  <c r="W17" i="1"/>
  <c r="G17" i="41" s="1"/>
  <c r="Z59" i="1" a="1"/>
  <c r="I92" i="6"/>
  <c r="G92" i="6"/>
  <c r="H92" i="6"/>
  <c r="I91" i="6"/>
  <c r="H91" i="6"/>
  <c r="G91" i="6"/>
  <c r="I90" i="6"/>
  <c r="H90" i="6"/>
  <c r="G90" i="6"/>
  <c r="G89" i="6"/>
  <c r="H89" i="6"/>
  <c r="I88" i="6"/>
  <c r="G88" i="6"/>
  <c r="H88" i="6"/>
  <c r="AC14" i="1"/>
  <c r="AO14" i="1" s="1"/>
  <c r="AA14" i="1"/>
  <c r="W14" i="1"/>
  <c r="G14" i="41" s="1"/>
  <c r="I87" i="6"/>
  <c r="H87" i="6"/>
  <c r="G87" i="6"/>
  <c r="Z58" i="1" a="1"/>
  <c r="Z57" i="1" a="1"/>
  <c r="I86" i="6"/>
  <c r="H86" i="6"/>
  <c r="G86" i="6"/>
  <c r="Q5" i="9"/>
  <c r="P5" i="9"/>
  <c r="S5" i="9" s="1"/>
  <c r="I83" i="6"/>
  <c r="I84" i="6"/>
  <c r="I85" i="6"/>
  <c r="H84" i="6"/>
  <c r="H85" i="6"/>
  <c r="G84" i="6"/>
  <c r="G85" i="6"/>
  <c r="G83" i="6"/>
  <c r="H83" i="6"/>
  <c r="I82" i="6"/>
  <c r="H82" i="6"/>
  <c r="G82" i="6"/>
  <c r="H81" i="6"/>
  <c r="I81" i="6"/>
  <c r="J81" i="6" s="1"/>
  <c r="Z56" i="1" a="1"/>
  <c r="Z55" i="1" a="1"/>
  <c r="W55" i="1"/>
  <c r="G55" i="41" s="1"/>
  <c r="Z54" i="1" a="1"/>
  <c r="Z50" i="1" a="1"/>
  <c r="G80" i="6"/>
  <c r="G81" i="6"/>
  <c r="H80" i="6"/>
  <c r="Z53" i="1" a="1"/>
  <c r="Z52" i="1" a="1"/>
  <c r="G79" i="6"/>
  <c r="H79"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2" i="6"/>
  <c r="G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2" i="6"/>
  <c r="G78" i="6"/>
  <c r="Z51" i="1" a="1"/>
  <c r="G77" i="6"/>
  <c r="G76" i="6"/>
  <c r="G75" i="6"/>
  <c r="G74" i="6"/>
  <c r="G73" i="6"/>
  <c r="Z49" i="1" a="1"/>
  <c r="Z48" i="1" a="1"/>
  <c r="Z47" i="1" a="1"/>
  <c r="G72" i="6"/>
  <c r="G71" i="6"/>
  <c r="Z46" i="1" a="1"/>
  <c r="G70" i="6"/>
  <c r="G69" i="6"/>
  <c r="Z45" i="1" a="1"/>
  <c r="G68" i="6"/>
  <c r="G67" i="6"/>
  <c r="Z44" i="1" a="1"/>
  <c r="Z43" i="1" a="1"/>
  <c r="G64" i="6"/>
  <c r="G65" i="6"/>
  <c r="G66" i="6"/>
  <c r="Z41" i="1" a="1"/>
  <c r="Z39" i="1" a="1"/>
  <c r="G59" i="6"/>
  <c r="G60" i="6"/>
  <c r="G61" i="6"/>
  <c r="G62" i="6"/>
  <c r="G63" i="6"/>
  <c r="J153" i="6"/>
  <c r="J154" i="6"/>
  <c r="K154" i="6"/>
  <c r="K153" i="6"/>
  <c r="K155" i="6"/>
  <c r="J155" i="6"/>
  <c r="K152" i="6"/>
  <c r="J152" i="6"/>
  <c r="K151" i="6"/>
  <c r="J151" i="6"/>
  <c r="J148" i="6"/>
  <c r="K148" i="6"/>
  <c r="K150" i="6"/>
  <c r="J150" i="6"/>
  <c r="K149" i="6"/>
  <c r="J149" i="6"/>
  <c r="K147" i="6"/>
  <c r="J147" i="6"/>
  <c r="K146" i="6"/>
  <c r="J146" i="6"/>
  <c r="K145" i="6"/>
  <c r="J145" i="6"/>
  <c r="K144" i="6"/>
  <c r="J144" i="6"/>
  <c r="K143" i="6"/>
  <c r="J143" i="6"/>
  <c r="K142" i="6"/>
  <c r="J142" i="6"/>
  <c r="K141" i="6"/>
  <c r="J141" i="6"/>
  <c r="K140" i="6"/>
  <c r="J140" i="6"/>
  <c r="K139" i="6"/>
  <c r="J139" i="6"/>
  <c r="K138" i="6"/>
  <c r="J138" i="6"/>
  <c r="K135" i="6"/>
  <c r="J135" i="6"/>
  <c r="K136" i="6"/>
  <c r="J136" i="6"/>
  <c r="K137" i="6"/>
  <c r="J137" i="6"/>
  <c r="K134" i="6"/>
  <c r="J134" i="6"/>
  <c r="K133" i="6"/>
  <c r="J133" i="6"/>
  <c r="K132" i="6"/>
  <c r="J132" i="6"/>
  <c r="K131" i="6"/>
  <c r="J131" i="6"/>
  <c r="K130" i="6"/>
  <c r="J130" i="6"/>
  <c r="K129" i="6"/>
  <c r="J129" i="6"/>
  <c r="K128" i="6"/>
  <c r="J128" i="6"/>
  <c r="K127" i="6"/>
  <c r="J127" i="6"/>
  <c r="K126" i="6"/>
  <c r="J126" i="6"/>
  <c r="K125" i="6"/>
  <c r="J125" i="6"/>
  <c r="K124" i="6"/>
  <c r="J124" i="6"/>
  <c r="K123" i="6"/>
  <c r="J123" i="6"/>
  <c r="K122" i="6"/>
  <c r="J122" i="6"/>
  <c r="K121" i="6"/>
  <c r="J121" i="6"/>
  <c r="K115" i="6"/>
  <c r="J115" i="6"/>
  <c r="K120" i="6"/>
  <c r="J120" i="6"/>
  <c r="K119" i="6"/>
  <c r="J119" i="6"/>
  <c r="K118" i="6"/>
  <c r="J118" i="6"/>
  <c r="J117" i="6"/>
  <c r="K117" i="6"/>
  <c r="K116" i="6"/>
  <c r="J116" i="6"/>
  <c r="K83" i="6"/>
  <c r="K114" i="6"/>
  <c r="J114" i="6"/>
  <c r="K112" i="6"/>
  <c r="J112" i="6"/>
  <c r="K111" i="6"/>
  <c r="J111" i="6"/>
  <c r="K110" i="6"/>
  <c r="J110" i="6"/>
  <c r="K113" i="6"/>
  <c r="J113" i="6"/>
  <c r="K109" i="6"/>
  <c r="J109" i="6"/>
  <c r="K108" i="6"/>
  <c r="J108" i="6"/>
  <c r="K107" i="6"/>
  <c r="J107" i="6"/>
  <c r="J79" i="6"/>
  <c r="J80" i="6"/>
  <c r="K106" i="6"/>
  <c r="J106" i="6"/>
  <c r="J90" i="6"/>
  <c r="J82" i="6"/>
  <c r="K23" i="6"/>
  <c r="K24" i="6"/>
  <c r="K25" i="6"/>
  <c r="K26" i="6"/>
  <c r="K27" i="6"/>
  <c r="K28" i="6"/>
  <c r="K29" i="6"/>
  <c r="K30" i="6"/>
  <c r="K31" i="6"/>
  <c r="J91" i="6"/>
  <c r="J89" i="6"/>
  <c r="J101" i="6"/>
  <c r="J95" i="6"/>
  <c r="J94" i="6"/>
  <c r="J93" i="6"/>
  <c r="J87" i="6"/>
  <c r="J100" i="6"/>
  <c r="J99" i="6"/>
  <c r="J96"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2" i="6"/>
  <c r="J84" i="6"/>
  <c r="J3" i="6"/>
  <c r="J7" i="6"/>
  <c r="J10" i="6"/>
  <c r="J13" i="6"/>
  <c r="J17" i="6"/>
  <c r="J62" i="6"/>
  <c r="J66" i="6"/>
  <c r="J71" i="6"/>
  <c r="J78" i="6"/>
  <c r="J92" i="6"/>
  <c r="J21" i="6"/>
  <c r="J103" i="6"/>
  <c r="J98" i="6"/>
  <c r="J86" i="6"/>
  <c r="J20" i="6"/>
  <c r="J68" i="6"/>
  <c r="J72" i="6"/>
  <c r="J75" i="6"/>
  <c r="J104" i="6"/>
  <c r="J102" i="6"/>
  <c r="J83" i="6"/>
  <c r="J85" i="6"/>
  <c r="J5" i="6"/>
  <c r="J9" i="6"/>
  <c r="J12" i="6"/>
  <c r="J16" i="6"/>
  <c r="J19" i="6"/>
  <c r="J65" i="6"/>
  <c r="J70" i="6"/>
  <c r="J76" i="6"/>
  <c r="J88" i="6"/>
  <c r="J4" i="6"/>
  <c r="J8" i="6"/>
  <c r="J11" i="6"/>
  <c r="J14" i="6"/>
  <c r="J18" i="6"/>
  <c r="J63" i="6"/>
  <c r="J69" i="6"/>
  <c r="J74" i="6"/>
  <c r="J97" i="6"/>
  <c r="J6" i="6"/>
  <c r="J15" i="6"/>
  <c r="J64" i="6"/>
  <c r="J77"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7" i="6"/>
  <c r="J73" i="6"/>
  <c r="K3" i="6"/>
  <c r="K4" i="6"/>
  <c r="K5" i="6"/>
  <c r="K6" i="6"/>
  <c r="K7" i="6"/>
  <c r="K8" i="6"/>
  <c r="K9" i="6"/>
  <c r="K10" i="6"/>
  <c r="K11" i="6"/>
  <c r="K12" i="6"/>
  <c r="K13" i="6"/>
  <c r="K15" i="6"/>
  <c r="K17" i="6"/>
  <c r="K18" i="6"/>
  <c r="K19" i="6"/>
  <c r="J2" i="6"/>
  <c r="K14" i="6"/>
  <c r="K16" i="6"/>
  <c r="K20" i="6"/>
  <c r="K21" i="6"/>
  <c r="K22" i="6"/>
  <c r="K92" i="6"/>
  <c r="K103" i="6"/>
  <c r="K100" i="6"/>
  <c r="K94" i="6"/>
  <c r="K93" i="6"/>
  <c r="K104" i="6"/>
  <c r="K102" i="6"/>
  <c r="K98" i="6"/>
  <c r="K96" i="6"/>
  <c r="K95" i="6"/>
  <c r="K101" i="6"/>
  <c r="K99" i="6"/>
  <c r="K97" i="6"/>
  <c r="K105" i="6"/>
  <c r="K86" i="6"/>
  <c r="K82" i="6"/>
  <c r="K90" i="6"/>
  <c r="K89" i="6"/>
  <c r="K91" i="6"/>
  <c r="K85" i="6"/>
  <c r="K81" i="6"/>
  <c r="K88" i="6"/>
  <c r="K87" i="6"/>
  <c r="K84" i="6"/>
  <c r="K79" i="6"/>
  <c r="K80" i="6"/>
  <c r="H25" i="43"/>
  <c r="I25" i="43" s="1"/>
  <c r="H3" i="43"/>
  <c r="I3" i="43" s="1"/>
  <c r="H4" i="43"/>
  <c r="I4" i="43" s="1"/>
  <c r="H5" i="43"/>
  <c r="I5" i="43" s="1"/>
  <c r="H6" i="43"/>
  <c r="I6" i="43" s="1"/>
  <c r="H7" i="43"/>
  <c r="I7" i="43" s="1"/>
  <c r="H8" i="43"/>
  <c r="I8" i="43" s="1"/>
  <c r="H17" i="43"/>
  <c r="I17" i="43" s="1"/>
  <c r="H9" i="43"/>
  <c r="I9" i="43" s="1"/>
  <c r="H10" i="43"/>
  <c r="I10" i="43" s="1"/>
  <c r="H11" i="43"/>
  <c r="I11" i="43" s="1"/>
  <c r="H12" i="43"/>
  <c r="I12" i="43" s="1"/>
  <c r="H13" i="43"/>
  <c r="I13" i="43" s="1"/>
  <c r="H14" i="43"/>
  <c r="I14" i="43" s="1"/>
  <c r="H15" i="43"/>
  <c r="I15" i="43" s="1"/>
  <c r="H16" i="43"/>
  <c r="I16" i="43" s="1"/>
  <c r="H36" i="43"/>
  <c r="I36" i="43" s="1"/>
  <c r="H35" i="43"/>
  <c r="I35" i="43" s="1"/>
  <c r="H34" i="43"/>
  <c r="I34" i="43" s="1"/>
  <c r="H33" i="43"/>
  <c r="I33" i="43" s="1"/>
  <c r="H32" i="43"/>
  <c r="I32" i="43" s="1"/>
  <c r="H31" i="43"/>
  <c r="I31" i="43" s="1"/>
  <c r="H30" i="43"/>
  <c r="I30" i="43" s="1"/>
  <c r="H29" i="43"/>
  <c r="I29" i="43" s="1"/>
  <c r="H28" i="43"/>
  <c r="I28" i="43" s="1"/>
  <c r="H27" i="43"/>
  <c r="I27" i="43" s="1"/>
  <c r="H26" i="43"/>
  <c r="I26" i="43" s="1"/>
  <c r="H24" i="43"/>
  <c r="I24" i="43" s="1"/>
  <c r="H23" i="43"/>
  <c r="I23" i="43" s="1"/>
  <c r="H22" i="43"/>
  <c r="I22" i="43" s="1"/>
  <c r="H21" i="43"/>
  <c r="I21" i="43" s="1"/>
  <c r="H20" i="43"/>
  <c r="I20" i="43" s="1"/>
  <c r="H19" i="43"/>
  <c r="I19" i="43" s="1"/>
  <c r="H18" i="43"/>
  <c r="I18" i="43" s="1"/>
  <c r="H40" i="43"/>
  <c r="I40" i="43" s="1"/>
  <c r="H41" i="43"/>
  <c r="I41" i="43" s="1"/>
  <c r="H37" i="43"/>
  <c r="I37" i="43" s="1"/>
  <c r="H38" i="43"/>
  <c r="I38" i="43" s="1"/>
  <c r="H39" i="43"/>
  <c r="I39" i="43" s="1"/>
  <c r="H42" i="43"/>
  <c r="I42" i="43" s="1"/>
  <c r="H43" i="43"/>
  <c r="I43" i="43" s="1"/>
  <c r="H44" i="43"/>
  <c r="I44" i="43" s="1"/>
  <c r="H45" i="43"/>
  <c r="I45" i="43" s="1"/>
  <c r="H46" i="43"/>
  <c r="I46" i="43" s="1"/>
  <c r="H47" i="43"/>
  <c r="I47" i="43" s="1"/>
  <c r="H48" i="43"/>
  <c r="I48" i="43" s="1"/>
  <c r="H49" i="43"/>
  <c r="I49" i="43" s="1"/>
  <c r="H103" i="43"/>
  <c r="I103" i="43" s="1"/>
  <c r="H104" i="43"/>
  <c r="I104" i="43" s="1"/>
  <c r="H51" i="43"/>
  <c r="I51" i="43" s="1"/>
  <c r="H50" i="43"/>
  <c r="I50" i="43" s="1"/>
  <c r="H52" i="43"/>
  <c r="I52" i="43" s="1"/>
  <c r="H53" i="43"/>
  <c r="I53" i="43" s="1"/>
  <c r="H54" i="43"/>
  <c r="I54" i="43" s="1"/>
  <c r="H55" i="43"/>
  <c r="I55" i="43" s="1"/>
  <c r="H56" i="43"/>
  <c r="I56" i="43" s="1"/>
  <c r="H57" i="43"/>
  <c r="I57" i="43" s="1"/>
  <c r="H58" i="43"/>
  <c r="I58" i="43" s="1"/>
  <c r="H59" i="43"/>
  <c r="I59" i="43" s="1"/>
  <c r="H60" i="43"/>
  <c r="I60" i="43" s="1"/>
  <c r="H61" i="43"/>
  <c r="I61" i="43" s="1"/>
  <c r="H62" i="43"/>
  <c r="I62" i="43" s="1"/>
  <c r="H63" i="43"/>
  <c r="I63" i="43" s="1"/>
  <c r="H64" i="43"/>
  <c r="I64" i="43" s="1"/>
  <c r="H93" i="43"/>
  <c r="I93" i="43" s="1"/>
  <c r="H94" i="43"/>
  <c r="I94" i="43" s="1"/>
  <c r="H95" i="43"/>
  <c r="I95" i="43" s="1"/>
  <c r="H96" i="43"/>
  <c r="I96" i="43" s="1"/>
  <c r="H97" i="43"/>
  <c r="I97" i="43" s="1"/>
  <c r="H98" i="43"/>
  <c r="I98" i="43" s="1"/>
  <c r="H99" i="43"/>
  <c r="I99" i="43" s="1"/>
  <c r="H100" i="43"/>
  <c r="I100" i="43" s="1"/>
  <c r="H101" i="43"/>
  <c r="I101" i="43" s="1"/>
  <c r="H102" i="43"/>
  <c r="I102" i="43" s="1"/>
  <c r="H105" i="43"/>
  <c r="I105" i="43" s="1"/>
  <c r="C105" i="43"/>
  <c r="B105" i="43"/>
  <c r="H65" i="43"/>
  <c r="I65" i="43" s="1"/>
  <c r="H66" i="43"/>
  <c r="I66" i="43" s="1"/>
  <c r="H67" i="43"/>
  <c r="I67" i="43" s="1"/>
  <c r="H68" i="43"/>
  <c r="I68" i="43" s="1"/>
  <c r="H69" i="43"/>
  <c r="I69" i="43" s="1"/>
  <c r="H70" i="43"/>
  <c r="I70" i="43" s="1"/>
  <c r="H71" i="43"/>
  <c r="I71" i="43" s="1"/>
  <c r="H72" i="43"/>
  <c r="I72" i="43" s="1"/>
  <c r="H73" i="43"/>
  <c r="I73" i="43" s="1"/>
  <c r="H74" i="43"/>
  <c r="I74" i="43" s="1"/>
  <c r="H75" i="43"/>
  <c r="I75" i="43" s="1"/>
  <c r="H76" i="43"/>
  <c r="I76" i="43" s="1"/>
  <c r="H77" i="43"/>
  <c r="I77" i="43" s="1"/>
  <c r="H78" i="43"/>
  <c r="I78" i="43" s="1"/>
  <c r="H79" i="43"/>
  <c r="I79" i="43" s="1"/>
  <c r="H80" i="43"/>
  <c r="I80" i="43" s="1"/>
  <c r="H81" i="43"/>
  <c r="I81" i="43" s="1"/>
  <c r="H82" i="43"/>
  <c r="I82" i="43" s="1"/>
  <c r="H83" i="43"/>
  <c r="I83" i="43" s="1"/>
  <c r="H84" i="43"/>
  <c r="I84" i="43" s="1"/>
  <c r="H85" i="43"/>
  <c r="I85" i="43" s="1"/>
  <c r="H86" i="43"/>
  <c r="I86" i="43" s="1"/>
  <c r="H87" i="43"/>
  <c r="I87" i="43" s="1"/>
  <c r="H88" i="43"/>
  <c r="I88" i="43" s="1"/>
  <c r="H89" i="43"/>
  <c r="I89" i="43" s="1"/>
  <c r="H90" i="43"/>
  <c r="I90" i="43" s="1"/>
  <c r="H91" i="43"/>
  <c r="I91" i="43" s="1"/>
  <c r="H92" i="43"/>
  <c r="I92" i="43" s="1"/>
  <c r="A5" i="40"/>
  <c r="A7" i="40"/>
  <c r="A12" i="40"/>
  <c r="A14" i="40"/>
  <c r="A16" i="40"/>
  <c r="A18" i="40"/>
  <c r="A20" i="40"/>
  <c r="A23" i="40"/>
  <c r="A25" i="40"/>
  <c r="A27" i="40"/>
  <c r="A29" i="40"/>
  <c r="A32" i="40"/>
  <c r="B3" i="40"/>
  <c r="B5" i="40"/>
  <c r="B7" i="40"/>
  <c r="B9" i="40"/>
  <c r="B11" i="40"/>
  <c r="B13" i="40"/>
  <c r="B15" i="40"/>
  <c r="B17" i="40"/>
  <c r="B19" i="40"/>
  <c r="B22" i="40"/>
  <c r="B24" i="40"/>
  <c r="B26" i="40"/>
  <c r="B29" i="40"/>
  <c r="B32" i="40"/>
  <c r="B35" i="40"/>
  <c r="D5" i="40"/>
  <c r="D8" i="40"/>
  <c r="D11" i="40"/>
  <c r="D14" i="40"/>
  <c r="D17" i="40"/>
  <c r="D21" i="40"/>
  <c r="D24" i="40"/>
  <c r="D27" i="40"/>
  <c r="D30" i="40"/>
  <c r="D34" i="40"/>
  <c r="A4" i="40"/>
  <c r="B20" i="40"/>
  <c r="B27" i="40"/>
  <c r="B31" i="40"/>
  <c r="B34" i="40"/>
  <c r="D4" i="40"/>
  <c r="D7" i="40"/>
  <c r="D10" i="40"/>
  <c r="D13" i="40"/>
  <c r="D16" i="40"/>
  <c r="D19" i="40"/>
  <c r="D22" i="40"/>
  <c r="D25" i="40"/>
  <c r="D28" i="40"/>
  <c r="D31" i="40"/>
  <c r="D33" i="40"/>
  <c r="A3" i="40"/>
  <c r="A6" i="40"/>
  <c r="A8" i="40"/>
  <c r="A9" i="40"/>
  <c r="A10" i="40"/>
  <c r="A11" i="40"/>
  <c r="A13" i="40"/>
  <c r="A15" i="40"/>
  <c r="A17" i="40"/>
  <c r="A19" i="40"/>
  <c r="A22" i="40"/>
  <c r="A24" i="40"/>
  <c r="A26" i="40"/>
  <c r="A28" i="40"/>
  <c r="A30" i="40"/>
  <c r="A31" i="40"/>
  <c r="A33" i="40"/>
  <c r="A21" i="40"/>
  <c r="B4" i="40"/>
  <c r="B6" i="40"/>
  <c r="B8" i="40"/>
  <c r="B10" i="40"/>
  <c r="B12" i="40"/>
  <c r="B14" i="40"/>
  <c r="B16" i="40"/>
  <c r="B18" i="40"/>
  <c r="B21" i="40"/>
  <c r="B23" i="40"/>
  <c r="B25" i="40"/>
  <c r="B28" i="40"/>
  <c r="B30" i="40"/>
  <c r="B33" i="40"/>
  <c r="D3" i="40"/>
  <c r="D6" i="40"/>
  <c r="D9" i="40"/>
  <c r="D12" i="40"/>
  <c r="D15" i="40"/>
  <c r="D18" i="40"/>
  <c r="D20" i="40"/>
  <c r="D23" i="40"/>
  <c r="D26" i="40"/>
  <c r="D29" i="40"/>
  <c r="D32" i="40"/>
  <c r="D35" i="40"/>
  <c r="C99" i="43"/>
  <c r="C104" i="43"/>
  <c r="B3" i="43"/>
  <c r="B4" i="43"/>
  <c r="B5" i="43"/>
  <c r="B6" i="43"/>
  <c r="B8" i="43"/>
  <c r="B10" i="43"/>
  <c r="B12" i="43"/>
  <c r="B14" i="43"/>
  <c r="B16" i="43"/>
  <c r="B18" i="43"/>
  <c r="B21" i="43"/>
  <c r="B23" i="43"/>
  <c r="B25" i="43"/>
  <c r="B27" i="43"/>
  <c r="B29" i="43"/>
  <c r="B31" i="43"/>
  <c r="B33" i="43"/>
  <c r="B34" i="43"/>
  <c r="B36" i="43"/>
  <c r="B38" i="43"/>
  <c r="B40" i="43"/>
  <c r="B42" i="43"/>
  <c r="B44" i="43"/>
  <c r="B46" i="43"/>
  <c r="B49" i="43"/>
  <c r="B51" i="43"/>
  <c r="B52" i="43"/>
  <c r="B54" i="43"/>
  <c r="B56" i="43"/>
  <c r="B58" i="43"/>
  <c r="B60" i="43"/>
  <c r="B62" i="43"/>
  <c r="B64" i="43"/>
  <c r="B66" i="43"/>
  <c r="B68" i="43"/>
  <c r="B71" i="43"/>
  <c r="B73" i="43"/>
  <c r="B75" i="43"/>
  <c r="B77" i="43"/>
  <c r="B79" i="43"/>
  <c r="B80" i="43"/>
  <c r="B82" i="43"/>
  <c r="B84" i="43"/>
  <c r="B86" i="43"/>
  <c r="B90" i="43"/>
  <c r="B92" i="43"/>
  <c r="B97" i="43"/>
  <c r="B99" i="43"/>
  <c r="B102" i="43"/>
  <c r="C20" i="43"/>
  <c r="B94" i="43"/>
  <c r="C3" i="43"/>
  <c r="C7" i="43"/>
  <c r="C9" i="43"/>
  <c r="C11" i="43"/>
  <c r="C13" i="43"/>
  <c r="C15" i="43"/>
  <c r="C17" i="43"/>
  <c r="C19"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100" i="43"/>
  <c r="C101" i="43"/>
  <c r="C102" i="43"/>
  <c r="C103" i="43"/>
  <c r="B7" i="43"/>
  <c r="B9" i="43"/>
  <c r="B11" i="43"/>
  <c r="B13" i="43"/>
  <c r="B15" i="43"/>
  <c r="B17" i="43"/>
  <c r="B19" i="43"/>
  <c r="B20" i="43"/>
  <c r="B22" i="43"/>
  <c r="B24" i="43"/>
  <c r="B26" i="43"/>
  <c r="B28" i="43"/>
  <c r="B30" i="43"/>
  <c r="B32" i="43"/>
  <c r="B35" i="43"/>
  <c r="B37" i="43"/>
  <c r="B39" i="43"/>
  <c r="B41" i="43"/>
  <c r="B43" i="43"/>
  <c r="B45" i="43"/>
  <c r="B47" i="43"/>
  <c r="B48" i="43"/>
  <c r="B50" i="43"/>
  <c r="B53" i="43"/>
  <c r="B55" i="43"/>
  <c r="B57" i="43"/>
  <c r="B59" i="43"/>
  <c r="B61" i="43"/>
  <c r="B63" i="43"/>
  <c r="B65" i="43"/>
  <c r="B67" i="43"/>
  <c r="B69" i="43"/>
  <c r="B72" i="43"/>
  <c r="B74" i="43"/>
  <c r="B76" i="43"/>
  <c r="B78" i="43"/>
  <c r="B81" i="43"/>
  <c r="B83" i="43"/>
  <c r="B85" i="43"/>
  <c r="B87" i="43"/>
  <c r="B88" i="43"/>
  <c r="B91" i="43"/>
  <c r="B93" i="43"/>
  <c r="B96" i="43"/>
  <c r="B100" i="43"/>
  <c r="B104" i="43"/>
  <c r="C4" i="43"/>
  <c r="B70" i="43"/>
  <c r="B89" i="43"/>
  <c r="B95" i="43"/>
  <c r="B98" i="43"/>
  <c r="B101" i="43"/>
  <c r="B103" i="43"/>
  <c r="C5" i="43"/>
  <c r="C6" i="43"/>
  <c r="C8" i="43"/>
  <c r="C10" i="43"/>
  <c r="C12" i="43"/>
  <c r="C14" i="43"/>
  <c r="C16" i="43"/>
  <c r="C18" i="43"/>
  <c r="D2" i="40" s="1"/>
  <c r="N2" i="6"/>
  <c r="Z40" i="1" a="1"/>
  <c r="W11" i="1"/>
  <c r="G11" i="41" s="1"/>
  <c r="AC39" i="1"/>
  <c r="AO39" i="1" s="1"/>
  <c r="AA39" i="1"/>
  <c r="W39" i="1"/>
  <c r="G39" i="41" s="1"/>
  <c r="Z30" i="1" a="1"/>
  <c r="G53" i="6"/>
  <c r="G54" i="6"/>
  <c r="G55" i="6"/>
  <c r="G56" i="6"/>
  <c r="G57" i="6"/>
  <c r="G58" i="6"/>
  <c r="G46" i="6"/>
  <c r="G47" i="6"/>
  <c r="G48" i="6"/>
  <c r="G49" i="6"/>
  <c r="G50" i="6"/>
  <c r="G51" i="6"/>
  <c r="G52" i="6"/>
  <c r="N72" i="41" l="1"/>
  <c r="N80" i="41"/>
  <c r="N81" i="41"/>
  <c r="N86" i="41"/>
  <c r="N88" i="41"/>
  <c r="N65" i="41"/>
  <c r="N75" i="41"/>
  <c r="N82" i="41"/>
  <c r="N83" i="41"/>
  <c r="N84" i="41"/>
  <c r="N85" i="41"/>
  <c r="N87" i="41"/>
  <c r="N89" i="41"/>
  <c r="B18" i="42"/>
  <c r="B19" i="42"/>
  <c r="B20" i="42"/>
  <c r="B2" i="42"/>
  <c r="B3" i="42"/>
  <c r="B4" i="42"/>
  <c r="B5" i="42"/>
  <c r="B6" i="42"/>
  <c r="B7" i="42"/>
  <c r="B8" i="42"/>
  <c r="B9" i="42"/>
  <c r="B10" i="42"/>
  <c r="B11" i="42"/>
  <c r="B12" i="42"/>
  <c r="B13" i="42"/>
  <c r="B14" i="42"/>
  <c r="B15" i="42"/>
  <c r="B16" i="42"/>
  <c r="B17" i="42"/>
  <c r="C10" i="42"/>
  <c r="C11" i="42"/>
  <c r="C12" i="42"/>
  <c r="C13" i="42"/>
  <c r="C14" i="42"/>
  <c r="C15" i="42"/>
  <c r="C16" i="42"/>
  <c r="C17" i="42"/>
  <c r="C18" i="42"/>
  <c r="C19" i="42"/>
  <c r="C20" i="42"/>
  <c r="E10" i="42"/>
  <c r="F10" i="42"/>
  <c r="G10" i="42"/>
  <c r="I10" i="42"/>
  <c r="J10" i="42"/>
  <c r="K10" i="42"/>
  <c r="L10" i="42"/>
  <c r="N10" i="42"/>
  <c r="O10" i="42" s="1"/>
  <c r="E11" i="42"/>
  <c r="F11" i="42"/>
  <c r="G11" i="42"/>
  <c r="I11" i="42"/>
  <c r="J11" i="42"/>
  <c r="K11" i="42"/>
  <c r="L11" i="42"/>
  <c r="N11" i="42"/>
  <c r="E12" i="42"/>
  <c r="F12" i="42"/>
  <c r="G12" i="42"/>
  <c r="I12" i="42"/>
  <c r="J12" i="42"/>
  <c r="K12" i="42"/>
  <c r="L12" i="42"/>
  <c r="N12" i="42"/>
  <c r="E13" i="42"/>
  <c r="F13" i="42"/>
  <c r="G13" i="42"/>
  <c r="I13" i="42"/>
  <c r="J13" i="42"/>
  <c r="K13" i="42"/>
  <c r="L13" i="42"/>
  <c r="N13" i="42"/>
  <c r="E14" i="42"/>
  <c r="F14" i="42"/>
  <c r="G14" i="42"/>
  <c r="I14" i="42"/>
  <c r="J14" i="42"/>
  <c r="K14" i="42"/>
  <c r="L14" i="42"/>
  <c r="N14" i="42"/>
  <c r="O14" i="42" s="1"/>
  <c r="E15" i="42"/>
  <c r="H15" i="42" s="1"/>
  <c r="F15" i="42"/>
  <c r="G15" i="42"/>
  <c r="I15" i="42"/>
  <c r="J15" i="42"/>
  <c r="K15" i="42"/>
  <c r="L15" i="42"/>
  <c r="N15" i="42"/>
  <c r="E16" i="42"/>
  <c r="F16" i="42"/>
  <c r="G16" i="42"/>
  <c r="I16" i="42"/>
  <c r="J16" i="42"/>
  <c r="K16" i="42"/>
  <c r="L16" i="42"/>
  <c r="N16" i="42"/>
  <c r="E17" i="42"/>
  <c r="F17" i="42"/>
  <c r="G17" i="42"/>
  <c r="I17" i="42"/>
  <c r="J17" i="42"/>
  <c r="K17" i="42"/>
  <c r="L17" i="42"/>
  <c r="N17" i="42"/>
  <c r="E18" i="42"/>
  <c r="F18" i="42"/>
  <c r="G18" i="42"/>
  <c r="I18" i="42"/>
  <c r="J18" i="42"/>
  <c r="K18" i="42"/>
  <c r="L18" i="42"/>
  <c r="N18" i="42"/>
  <c r="E19" i="42"/>
  <c r="F19" i="42"/>
  <c r="G19" i="42"/>
  <c r="I19" i="42"/>
  <c r="J19" i="42"/>
  <c r="K19" i="42"/>
  <c r="L19" i="42"/>
  <c r="N19" i="42"/>
  <c r="E20" i="42"/>
  <c r="F20" i="42"/>
  <c r="G20" i="42"/>
  <c r="I20" i="42"/>
  <c r="J20" i="42"/>
  <c r="K20" i="42"/>
  <c r="L20" i="42"/>
  <c r="N20" i="42"/>
  <c r="D20" i="42"/>
  <c r="D10" i="42"/>
  <c r="D11" i="42"/>
  <c r="D12" i="42"/>
  <c r="D13" i="42"/>
  <c r="D14" i="42"/>
  <c r="D15" i="42"/>
  <c r="D16" i="42"/>
  <c r="D17" i="42"/>
  <c r="D18" i="42"/>
  <c r="D19" i="42"/>
  <c r="I108" i="43"/>
  <c r="I110" i="43"/>
  <c r="I111" i="43"/>
  <c r="I112" i="43"/>
  <c r="I113" i="43"/>
  <c r="I120" i="43"/>
  <c r="I122" i="43"/>
  <c r="I127" i="43"/>
  <c r="I129" i="43"/>
  <c r="I130" i="43"/>
  <c r="I133" i="43"/>
  <c r="I135" i="43"/>
  <c r="I143" i="43"/>
  <c r="I157" i="43"/>
  <c r="I139" i="43"/>
  <c r="I148" i="43"/>
  <c r="I121" i="43"/>
  <c r="I123" i="43"/>
  <c r="I146" i="43"/>
  <c r="I147" i="43"/>
  <c r="I106" i="43"/>
  <c r="I114" i="43"/>
  <c r="I115" i="43"/>
  <c r="I119" i="43"/>
  <c r="I128" i="43"/>
  <c r="I132" i="43"/>
  <c r="I151" i="43"/>
  <c r="I155" i="43"/>
  <c r="I117" i="43"/>
  <c r="I118" i="43"/>
  <c r="I126" i="43"/>
  <c r="I134" i="43"/>
  <c r="I137" i="43"/>
  <c r="I149" i="43"/>
  <c r="I152" i="43"/>
  <c r="I156" i="43"/>
  <c r="I125" i="43"/>
  <c r="I136" i="43"/>
  <c r="I144" i="43"/>
  <c r="I153" i="43"/>
  <c r="I116" i="43"/>
  <c r="I158" i="43"/>
  <c r="I150" i="43"/>
  <c r="I154" i="43"/>
  <c r="I138" i="43"/>
  <c r="I145" i="43"/>
  <c r="N73" i="41"/>
  <c r="N71" i="41"/>
  <c r="K156" i="6"/>
  <c r="J156" i="6"/>
  <c r="AP74" i="1"/>
  <c r="AQ74" i="1" s="1"/>
  <c r="AO70" i="1"/>
  <c r="AO75" i="1"/>
  <c r="AP14" i="1"/>
  <c r="AQ14" i="1" s="1"/>
  <c r="AR14" i="1" s="1"/>
  <c r="AP70" i="1"/>
  <c r="AQ70" i="1" s="1"/>
  <c r="AP75" i="1"/>
  <c r="AQ75" i="1" s="1"/>
  <c r="AO74" i="1"/>
  <c r="T46" i="26"/>
  <c r="S46" i="26"/>
  <c r="C7" i="42"/>
  <c r="D4" i="42"/>
  <c r="C6" i="42"/>
  <c r="F6" i="42"/>
  <c r="R5" i="22"/>
  <c r="R5" i="12"/>
  <c r="I6" i="42"/>
  <c r="I9" i="42"/>
  <c r="N8" i="42"/>
  <c r="O8" i="42" s="1"/>
  <c r="L5" i="42"/>
  <c r="L9" i="42"/>
  <c r="J3" i="42"/>
  <c r="J8" i="42"/>
  <c r="G7" i="42"/>
  <c r="I3" i="42"/>
  <c r="I5" i="42"/>
  <c r="I8" i="42"/>
  <c r="N4" i="42"/>
  <c r="O4" i="42" s="1"/>
  <c r="N7" i="42"/>
  <c r="O7" i="42" s="1"/>
  <c r="N9" i="42"/>
  <c r="O9" i="42" s="1"/>
  <c r="L3" i="42"/>
  <c r="L6" i="42"/>
  <c r="L8" i="42"/>
  <c r="J4" i="42"/>
  <c r="J9" i="42"/>
  <c r="G3" i="42"/>
  <c r="G6" i="42"/>
  <c r="E5" i="42"/>
  <c r="H5" i="42" s="1"/>
  <c r="E7" i="42"/>
  <c r="H7" i="42" s="1"/>
  <c r="E9" i="42"/>
  <c r="H9" i="42" s="1"/>
  <c r="D6" i="42"/>
  <c r="D9" i="42"/>
  <c r="C8" i="42"/>
  <c r="F7" i="42"/>
  <c r="J5" i="42"/>
  <c r="G4" i="42"/>
  <c r="G8" i="42"/>
  <c r="E6" i="42"/>
  <c r="H6" i="42" s="1"/>
  <c r="E8" i="42"/>
  <c r="H8" i="42" s="1"/>
  <c r="D5" i="42"/>
  <c r="D7" i="42"/>
  <c r="C5" i="42"/>
  <c r="F5" i="42"/>
  <c r="F8" i="42"/>
  <c r="D8" i="42"/>
  <c r="C3" i="42"/>
  <c r="C9" i="42"/>
  <c r="F3" i="42"/>
  <c r="F9" i="42"/>
  <c r="D3" i="42"/>
  <c r="I4" i="42"/>
  <c r="I7" i="42"/>
  <c r="N3" i="42"/>
  <c r="O3" i="42" s="1"/>
  <c r="N6" i="42"/>
  <c r="O6" i="42" s="1"/>
  <c r="L7" i="42"/>
  <c r="J6" i="42"/>
  <c r="G5" i="42"/>
  <c r="N5" i="42"/>
  <c r="O5" i="42" s="1"/>
  <c r="L4" i="42"/>
  <c r="J7" i="42"/>
  <c r="E3" i="42"/>
  <c r="H3" i="42" s="1"/>
  <c r="C4" i="42"/>
  <c r="F4" i="42"/>
  <c r="E4" i="42"/>
  <c r="H4" i="42" s="1"/>
  <c r="G9" i="42"/>
  <c r="R5" i="9"/>
  <c r="H2" i="43"/>
  <c r="I2" i="43" s="1"/>
  <c r="C2" i="43"/>
  <c r="F2" i="42"/>
  <c r="D2" i="42"/>
  <c r="C2" i="42"/>
  <c r="L2" i="42"/>
  <c r="I2" i="42"/>
  <c r="E2" i="42"/>
  <c r="H2" i="42" s="1"/>
  <c r="G2" i="42"/>
  <c r="J2" i="42"/>
  <c r="N2" i="42"/>
  <c r="O2" i="42" s="1"/>
  <c r="B2" i="43"/>
  <c r="B2" i="40"/>
  <c r="A2" i="40"/>
  <c r="N3" i="6"/>
  <c r="AP39" i="1"/>
  <c r="AQ39" i="1" s="1"/>
  <c r="AS39" i="1" s="1"/>
  <c r="G43" i="6"/>
  <c r="G44" i="6"/>
  <c r="G45" i="6"/>
  <c r="G42" i="6"/>
  <c r="AA15" i="1"/>
  <c r="Z15" i="1" a="1"/>
  <c r="W15" i="1"/>
  <c r="G15" i="41" s="1"/>
  <c r="H16" i="42" l="1"/>
  <c r="H17" i="42"/>
  <c r="H18" i="42"/>
  <c r="H19" i="42"/>
  <c r="H20" i="42"/>
  <c r="O16" i="42"/>
  <c r="H11" i="42"/>
  <c r="O11" i="42"/>
  <c r="O15" i="42"/>
  <c r="O18" i="42"/>
  <c r="O20" i="42"/>
  <c r="O12" i="42"/>
  <c r="O13" i="42"/>
  <c r="O17" i="42"/>
  <c r="O19" i="42"/>
  <c r="H10" i="42"/>
  <c r="H13" i="42"/>
  <c r="H14" i="42"/>
  <c r="H12" i="42"/>
  <c r="AR70" i="1"/>
  <c r="AS70" i="1"/>
  <c r="AS75" i="1"/>
  <c r="AR75" i="1"/>
  <c r="AS74" i="1"/>
  <c r="AR74" i="1"/>
  <c r="AS14" i="1"/>
  <c r="AR39" i="1"/>
  <c r="AT39" i="1"/>
  <c r="Z13" i="1" a="1"/>
  <c r="W13" i="1"/>
  <c r="G13" i="41" s="1"/>
  <c r="G32" i="6"/>
  <c r="G33" i="6"/>
  <c r="G34" i="6"/>
  <c r="G35" i="6"/>
  <c r="G36" i="6"/>
  <c r="G37" i="6"/>
  <c r="G38" i="6"/>
  <c r="G39" i="6"/>
  <c r="G40" i="6"/>
  <c r="G41" i="6"/>
  <c r="G23" i="6"/>
  <c r="G24" i="6"/>
  <c r="G25" i="6"/>
  <c r="G26" i="6"/>
  <c r="G27" i="6"/>
  <c r="G28" i="6"/>
  <c r="G29" i="6"/>
  <c r="G30" i="6"/>
  <c r="G31" i="6"/>
  <c r="G3" i="6"/>
  <c r="G4" i="6"/>
  <c r="G5" i="6"/>
  <c r="G6" i="6"/>
  <c r="G7" i="6"/>
  <c r="G8" i="6"/>
  <c r="G9" i="6"/>
  <c r="G10" i="6"/>
  <c r="G11" i="6"/>
  <c r="G12" i="6"/>
  <c r="G13" i="6"/>
  <c r="G14" i="6"/>
  <c r="G15" i="6"/>
  <c r="G16" i="6"/>
  <c r="G17" i="6"/>
  <c r="G18" i="6"/>
  <c r="G19" i="6"/>
  <c r="G20" i="6"/>
  <c r="G21" i="6"/>
  <c r="G22" i="6"/>
  <c r="Z29" i="1" a="1"/>
  <c r="Z28" i="1" a="1"/>
  <c r="Z4" i="1" a="1"/>
  <c r="Z8" i="1" a="1"/>
  <c r="Z9" i="1" a="1"/>
  <c r="Z10" i="1" a="1"/>
  <c r="Z11" i="1" a="1"/>
  <c r="Z18" i="1" a="1"/>
  <c r="Z19" i="1" a="1"/>
  <c r="Z20" i="1" a="1"/>
  <c r="Z22" i="1" a="1"/>
  <c r="Z23" i="1" a="1"/>
  <c r="Z25" i="1" a="1"/>
  <c r="Z26" i="1" a="1"/>
  <c r="Z27" i="1" a="1"/>
  <c r="P3" i="26" a="1"/>
  <c r="P4" i="22"/>
  <c r="S4" i="22" s="1"/>
  <c r="Q4" i="22"/>
  <c r="P4" i="12"/>
  <c r="S4" i="12" s="1"/>
  <c r="Q4" i="12"/>
  <c r="P13" i="14"/>
  <c r="W19" i="1"/>
  <c r="G19" i="41" s="1"/>
  <c r="W20" i="1"/>
  <c r="W21" i="1"/>
  <c r="G21" i="41" s="1"/>
  <c r="W22" i="1"/>
  <c r="G22" i="41" s="1"/>
  <c r="W23" i="1"/>
  <c r="G23" i="41" s="1"/>
  <c r="W24" i="1"/>
  <c r="G24" i="41" s="1"/>
  <c r="W25" i="1"/>
  <c r="G25" i="41" s="1"/>
  <c r="W26" i="1"/>
  <c r="G26" i="41" s="1"/>
  <c r="W31" i="1"/>
  <c r="G31" i="41" s="1"/>
  <c r="W33" i="1"/>
  <c r="G33" i="41" s="1"/>
  <c r="W2" i="1"/>
  <c r="G2" i="41" s="1"/>
  <c r="W3" i="1"/>
  <c r="G3" i="41" s="1"/>
  <c r="W4" i="1"/>
  <c r="G4" i="41" s="1"/>
  <c r="W5" i="1"/>
  <c r="G5" i="41" s="1"/>
  <c r="W6" i="1"/>
  <c r="G6" i="41" s="1"/>
  <c r="W7" i="1"/>
  <c r="G7" i="41" s="1"/>
  <c r="W8" i="1"/>
  <c r="G8" i="41" s="1"/>
  <c r="W9" i="1"/>
  <c r="G9" i="41" s="1"/>
  <c r="W10" i="1"/>
  <c r="G10" i="41" s="1"/>
  <c r="W12" i="1"/>
  <c r="G12" i="41" s="1"/>
  <c r="W27" i="1"/>
  <c r="G27" i="41" s="1"/>
  <c r="W34" i="1"/>
  <c r="G34" i="41" s="1"/>
  <c r="W35" i="1"/>
  <c r="G35" i="41" s="1"/>
  <c r="W28" i="1"/>
  <c r="G28" i="41" s="1"/>
  <c r="W29" i="1"/>
  <c r="G29" i="41" s="1"/>
  <c r="W36" i="1"/>
  <c r="G36" i="41" s="1"/>
  <c r="W37" i="1"/>
  <c r="G37" i="41" s="1"/>
  <c r="W30" i="1"/>
  <c r="G30" i="41" s="1"/>
  <c r="W38" i="1"/>
  <c r="G38" i="41" s="1"/>
  <c r="W40" i="1"/>
  <c r="W41" i="1"/>
  <c r="G41" i="41" s="1"/>
  <c r="W42" i="1"/>
  <c r="G42" i="41" s="1"/>
  <c r="W43" i="1"/>
  <c r="G43" i="41" s="1"/>
  <c r="W44" i="1"/>
  <c r="G44" i="41" s="1"/>
  <c r="W45" i="1"/>
  <c r="G45" i="41" s="1"/>
  <c r="W46" i="1"/>
  <c r="G46" i="41" s="1"/>
  <c r="W47" i="1"/>
  <c r="G47" i="41" s="1"/>
  <c r="W48" i="1"/>
  <c r="G48" i="41" s="1"/>
  <c r="W49" i="1"/>
  <c r="G49" i="41" s="1"/>
  <c r="W50" i="1"/>
  <c r="G50" i="41" s="1"/>
  <c r="W51" i="1"/>
  <c r="G51" i="41" s="1"/>
  <c r="W52" i="1"/>
  <c r="G52" i="41" s="1"/>
  <c r="W53" i="1"/>
  <c r="G53" i="41" s="1"/>
  <c r="W54" i="1"/>
  <c r="G54" i="41" s="1"/>
  <c r="W56" i="1"/>
  <c r="G56" i="41" s="1"/>
  <c r="W57" i="1"/>
  <c r="G57" i="41" s="1"/>
  <c r="W58" i="1"/>
  <c r="G58" i="41" s="1"/>
  <c r="W59" i="1"/>
  <c r="G59" i="41" s="1"/>
  <c r="W60" i="1"/>
  <c r="G60" i="41" s="1"/>
  <c r="W61" i="1"/>
  <c r="G61" i="41" s="1"/>
  <c r="W62" i="1"/>
  <c r="G62" i="41" s="1"/>
  <c r="W63" i="1"/>
  <c r="G63" i="41" s="1"/>
  <c r="W64" i="1"/>
  <c r="G64" i="41" s="1"/>
  <c r="W65" i="1"/>
  <c r="C37" i="26" s="1"/>
  <c r="W66" i="1"/>
  <c r="C38" i="26" s="1"/>
  <c r="W67" i="1"/>
  <c r="W68" i="1"/>
  <c r="W69" i="1"/>
  <c r="W71" i="1"/>
  <c r="C39" i="26" s="1"/>
  <c r="W72" i="1"/>
  <c r="W73" i="1"/>
  <c r="W76" i="1"/>
  <c r="C42" i="26" s="1"/>
  <c r="W77" i="1"/>
  <c r="W78" i="1"/>
  <c r="W79" i="1"/>
  <c r="C43" i="26" s="1"/>
  <c r="W80" i="1"/>
  <c r="C44" i="26" s="1"/>
  <c r="W81" i="1"/>
  <c r="W82" i="1"/>
  <c r="C45" i="26" s="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8" i="1"/>
  <c r="G18" i="41" s="1"/>
  <c r="AT70" i="1" l="1"/>
  <c r="AT75" i="1"/>
  <c r="AT14" i="1"/>
  <c r="AT74" i="1"/>
  <c r="C41" i="26"/>
  <c r="C40" i="26"/>
  <c r="P6" i="22"/>
  <c r="P6" i="12"/>
  <c r="B5" i="22"/>
  <c r="B5" i="12"/>
  <c r="R42" i="26"/>
  <c r="R43" i="26"/>
  <c r="R44" i="26"/>
  <c r="R45" i="26"/>
  <c r="Q42" i="26"/>
  <c r="T42" i="26" s="1"/>
  <c r="Q43" i="26"/>
  <c r="T43" i="26" s="1"/>
  <c r="Q44" i="26"/>
  <c r="T44" i="26" s="1"/>
  <c r="Q45" i="26"/>
  <c r="T45" i="26" s="1"/>
  <c r="R40" i="26"/>
  <c r="R41" i="26"/>
  <c r="Q40" i="26"/>
  <c r="T40" i="26" s="1"/>
  <c r="Q41" i="26"/>
  <c r="T41" i="26" s="1"/>
  <c r="R36" i="26"/>
  <c r="R37" i="26"/>
  <c r="R38" i="26"/>
  <c r="R39" i="26"/>
  <c r="Q36" i="26"/>
  <c r="T36" i="26" s="1"/>
  <c r="Q37" i="26"/>
  <c r="T37" i="26" s="1"/>
  <c r="Q38" i="26"/>
  <c r="T38" i="26" s="1"/>
  <c r="Q39" i="26"/>
  <c r="T39" i="26" s="1"/>
  <c r="B6" i="22"/>
  <c r="G20" i="41"/>
  <c r="B5" i="9"/>
  <c r="G40" i="41"/>
  <c r="C35" i="26"/>
  <c r="C36" i="26"/>
  <c r="R35" i="26"/>
  <c r="Q35" i="26"/>
  <c r="T35" i="26" s="1"/>
  <c r="B4" i="12"/>
  <c r="P3" i="22"/>
  <c r="P3" i="12"/>
  <c r="R33" i="26"/>
  <c r="R34" i="26"/>
  <c r="Q33" i="26"/>
  <c r="T33" i="26" s="1"/>
  <c r="Q34" i="26"/>
  <c r="T34" i="26" s="1"/>
  <c r="C34" i="26"/>
  <c r="R30" i="26"/>
  <c r="R32" i="26"/>
  <c r="Q30" i="26"/>
  <c r="T30" i="26" s="1"/>
  <c r="Q32" i="26"/>
  <c r="T32" i="26" s="1"/>
  <c r="Q31" i="26"/>
  <c r="B13" i="14"/>
  <c r="C33" i="26"/>
  <c r="C32" i="26"/>
  <c r="C30" i="26"/>
  <c r="C31" i="26"/>
  <c r="B4" i="13"/>
  <c r="R29" i="26"/>
  <c r="Q28" i="26"/>
  <c r="T28" i="26" s="1"/>
  <c r="Q29" i="26"/>
  <c r="T29" i="26" s="1"/>
  <c r="R28" i="26"/>
  <c r="P4" i="13"/>
  <c r="C29" i="26"/>
  <c r="C3" i="26"/>
  <c r="C28" i="26"/>
  <c r="Q27" i="26"/>
  <c r="T27" i="26" s="1"/>
  <c r="B6" i="12"/>
  <c r="Q21" i="26"/>
  <c r="T21" i="26" s="1"/>
  <c r="Q13" i="26"/>
  <c r="Q5" i="26"/>
  <c r="R21" i="26"/>
  <c r="B3" i="8"/>
  <c r="Q20" i="26"/>
  <c r="T20" i="26" s="1"/>
  <c r="Q12" i="26"/>
  <c r="Q4" i="26"/>
  <c r="R20" i="26"/>
  <c r="Q19" i="26"/>
  <c r="Q11" i="26"/>
  <c r="T11" i="26" s="1"/>
  <c r="R11" i="26"/>
  <c r="Q26" i="26"/>
  <c r="Q18" i="26"/>
  <c r="Q10" i="26"/>
  <c r="T10" i="26" s="1"/>
  <c r="R10" i="26"/>
  <c r="B4" i="22"/>
  <c r="Q25" i="26"/>
  <c r="Q17" i="26"/>
  <c r="Q9" i="26"/>
  <c r="T9" i="26" s="1"/>
  <c r="R9" i="26"/>
  <c r="Q24" i="26"/>
  <c r="T24" i="26" s="1"/>
  <c r="Q16" i="26"/>
  <c r="Q8" i="26"/>
  <c r="R24" i="26"/>
  <c r="Q23" i="26"/>
  <c r="Q15" i="26"/>
  <c r="Q7" i="26"/>
  <c r="Q22" i="26"/>
  <c r="T22" i="26" s="1"/>
  <c r="Q14" i="26"/>
  <c r="T14" i="26" s="1"/>
  <c r="Q6" i="26"/>
  <c r="R22" i="26"/>
  <c r="R14" i="26"/>
  <c r="C26" i="26"/>
  <c r="C6" i="26"/>
  <c r="C16" i="26"/>
  <c r="C14" i="26"/>
  <c r="C23" i="26"/>
  <c r="C11" i="26"/>
  <c r="C24" i="26"/>
  <c r="C22" i="26"/>
  <c r="C10" i="26"/>
  <c r="C19" i="26"/>
  <c r="C9" i="26"/>
  <c r="C17" i="26"/>
  <c r="C7" i="26"/>
  <c r="C25" i="26"/>
  <c r="C15" i="26"/>
  <c r="C18" i="26"/>
  <c r="C8" i="26"/>
  <c r="C27" i="26"/>
  <c r="C21" i="26"/>
  <c r="C13" i="26"/>
  <c r="C5" i="26"/>
  <c r="C20" i="26"/>
  <c r="C12" i="26"/>
  <c r="C4" i="26"/>
  <c r="B3" i="12"/>
  <c r="R4" i="22"/>
  <c r="B3" i="22"/>
  <c r="R4" i="12"/>
  <c r="AC52" i="1"/>
  <c r="AO52" i="1" s="1"/>
  <c r="AC31" i="1"/>
  <c r="AO31" i="1" s="1"/>
  <c r="AA24" i="1"/>
  <c r="B6" i="9"/>
  <c r="E6" i="9" s="1"/>
  <c r="P4" i="8"/>
  <c r="P5" i="8"/>
  <c r="P6" i="8"/>
  <c r="S6" i="8" s="1"/>
  <c r="Q6" i="8"/>
  <c r="P7" i="8"/>
  <c r="S7" i="8" s="1"/>
  <c r="Q7" i="8"/>
  <c r="P8" i="8"/>
  <c r="S8" i="8" s="1"/>
  <c r="Q8" i="8"/>
  <c r="B4" i="8"/>
  <c r="B6" i="8"/>
  <c r="B7" i="8"/>
  <c r="B8" i="8"/>
  <c r="B11" i="17"/>
  <c r="E11" i="17" s="1"/>
  <c r="C11" i="17"/>
  <c r="AT100" i="1"/>
  <c r="Q7" i="10"/>
  <c r="P7" i="10"/>
  <c r="S7" i="10" s="1"/>
  <c r="Q6" i="10"/>
  <c r="P6" i="10"/>
  <c r="S6" i="10" s="1"/>
  <c r="Q14" i="25"/>
  <c r="P14" i="25"/>
  <c r="Q13" i="25"/>
  <c r="P13" i="25"/>
  <c r="C14" i="25"/>
  <c r="B14" i="25"/>
  <c r="Q12" i="25"/>
  <c r="P12" i="25"/>
  <c r="S12" i="25" s="1"/>
  <c r="C13" i="25"/>
  <c r="B13" i="25"/>
  <c r="E13" i="25" s="1"/>
  <c r="Q11" i="25"/>
  <c r="P11" i="25"/>
  <c r="S11" i="25" s="1"/>
  <c r="B12" i="25"/>
  <c r="Q10" i="25"/>
  <c r="P10" i="25"/>
  <c r="S10" i="25" s="1"/>
  <c r="C11" i="25"/>
  <c r="B11" i="25"/>
  <c r="E11" i="25" s="1"/>
  <c r="Q9" i="25"/>
  <c r="P9" i="25"/>
  <c r="S9" i="25" s="1"/>
  <c r="C10" i="25"/>
  <c r="B10" i="25"/>
  <c r="E10" i="25" s="1"/>
  <c r="Q8" i="25"/>
  <c r="P8" i="25"/>
  <c r="S8" i="25" s="1"/>
  <c r="C9" i="25"/>
  <c r="B9" i="25"/>
  <c r="E9" i="25" s="1"/>
  <c r="Q7" i="25"/>
  <c r="P7" i="25"/>
  <c r="S7" i="25" s="1"/>
  <c r="C8" i="25"/>
  <c r="B8" i="25"/>
  <c r="E8" i="25" s="1"/>
  <c r="Q6" i="25"/>
  <c r="P6" i="25"/>
  <c r="S6" i="25" s="1"/>
  <c r="C7" i="25"/>
  <c r="B7" i="25"/>
  <c r="E7" i="25" s="1"/>
  <c r="Q5" i="25"/>
  <c r="P5" i="25"/>
  <c r="S5" i="25" s="1"/>
  <c r="C6" i="25"/>
  <c r="B6" i="25"/>
  <c r="Q4" i="25"/>
  <c r="P4" i="25"/>
  <c r="S4" i="25" s="1"/>
  <c r="C5" i="25"/>
  <c r="B5" i="25"/>
  <c r="E5" i="25" s="1"/>
  <c r="P3" i="25"/>
  <c r="C4" i="25"/>
  <c r="B4" i="25"/>
  <c r="E4" i="25" s="1"/>
  <c r="Q14" i="24"/>
  <c r="P14" i="24"/>
  <c r="S14" i="24" s="1"/>
  <c r="P13" i="24"/>
  <c r="P12" i="24"/>
  <c r="P11" i="24"/>
  <c r="Q10" i="24"/>
  <c r="P10" i="24"/>
  <c r="S10" i="24" s="1"/>
  <c r="Q9" i="24"/>
  <c r="P9" i="24"/>
  <c r="S9" i="24" s="1"/>
  <c r="P8" i="24"/>
  <c r="Q7" i="24"/>
  <c r="P7" i="24"/>
  <c r="S7" i="24" s="1"/>
  <c r="Q6" i="24"/>
  <c r="P6" i="24"/>
  <c r="S6" i="24" s="1"/>
  <c r="Q5" i="24"/>
  <c r="P5" i="24"/>
  <c r="S5" i="24" s="1"/>
  <c r="P3" i="24"/>
  <c r="B14" i="24"/>
  <c r="B6" i="23"/>
  <c r="E6" i="23" s="1"/>
  <c r="C6" i="23"/>
  <c r="B7" i="23"/>
  <c r="E7" i="23" s="1"/>
  <c r="C7" i="23"/>
  <c r="B8" i="23"/>
  <c r="E8" i="23" s="1"/>
  <c r="C8" i="23"/>
  <c r="B9" i="23"/>
  <c r="E9" i="23" s="1"/>
  <c r="C9" i="23"/>
  <c r="B10" i="23"/>
  <c r="E10" i="23" s="1"/>
  <c r="C10" i="23"/>
  <c r="B11" i="23"/>
  <c r="E11" i="23" s="1"/>
  <c r="C11" i="23"/>
  <c r="B12" i="23"/>
  <c r="E12" i="23" s="1"/>
  <c r="C12" i="23"/>
  <c r="B13" i="23"/>
  <c r="E13" i="23" s="1"/>
  <c r="C13" i="23"/>
  <c r="B14" i="23"/>
  <c r="E14" i="23" s="1"/>
  <c r="C14" i="23"/>
  <c r="B15" i="23"/>
  <c r="E15" i="23" s="1"/>
  <c r="C15" i="23"/>
  <c r="B16" i="23"/>
  <c r="E16" i="23" s="1"/>
  <c r="C16" i="23"/>
  <c r="B17" i="23"/>
  <c r="E17" i="23" s="1"/>
  <c r="C17" i="23"/>
  <c r="B18" i="23"/>
  <c r="E18" i="23" s="1"/>
  <c r="C18" i="23"/>
  <c r="B19" i="23"/>
  <c r="E19" i="23" s="1"/>
  <c r="C19" i="23"/>
  <c r="P4" i="23"/>
  <c r="S4" i="23" s="1"/>
  <c r="Q4" i="23"/>
  <c r="P5" i="23"/>
  <c r="P6" i="23"/>
  <c r="S6" i="23" s="1"/>
  <c r="Q6" i="23"/>
  <c r="P7" i="23"/>
  <c r="S7" i="23" s="1"/>
  <c r="Q7" i="23"/>
  <c r="P8" i="23"/>
  <c r="S8" i="23" s="1"/>
  <c r="Q8" i="23"/>
  <c r="P9" i="23"/>
  <c r="S9" i="23" s="1"/>
  <c r="Q9" i="23"/>
  <c r="P10" i="23"/>
  <c r="S10" i="23" s="1"/>
  <c r="Q10" i="23"/>
  <c r="P11" i="23"/>
  <c r="S11" i="23" s="1"/>
  <c r="Q11" i="23"/>
  <c r="P12" i="23"/>
  <c r="S12" i="23" s="1"/>
  <c r="Q12" i="23"/>
  <c r="P13" i="23"/>
  <c r="S13" i="23" s="1"/>
  <c r="Q13" i="23"/>
  <c r="P14" i="23"/>
  <c r="S14" i="23" s="1"/>
  <c r="Q14" i="23"/>
  <c r="P15" i="23"/>
  <c r="S15" i="23" s="1"/>
  <c r="Q15" i="23"/>
  <c r="P16" i="23"/>
  <c r="S16" i="23" s="1"/>
  <c r="Q16" i="23"/>
  <c r="P17" i="23"/>
  <c r="S17" i="23" s="1"/>
  <c r="Q17" i="23"/>
  <c r="P18" i="23"/>
  <c r="S18" i="23" s="1"/>
  <c r="Q18" i="23"/>
  <c r="P19" i="23"/>
  <c r="S19" i="23" s="1"/>
  <c r="Q19" i="23"/>
  <c r="P3" i="23"/>
  <c r="B5" i="23"/>
  <c r="P14" i="11"/>
  <c r="P8" i="22"/>
  <c r="Q8" i="22"/>
  <c r="P9" i="22"/>
  <c r="S9" i="22" s="1"/>
  <c r="Q9" i="22"/>
  <c r="P10" i="22"/>
  <c r="S10" i="22" s="1"/>
  <c r="Q10" i="22"/>
  <c r="P11" i="22"/>
  <c r="S11" i="22" s="1"/>
  <c r="Q11" i="22"/>
  <c r="P12" i="22"/>
  <c r="S12" i="22" s="1"/>
  <c r="Q12" i="22"/>
  <c r="P13" i="22"/>
  <c r="S13" i="22" s="1"/>
  <c r="Q13" i="22"/>
  <c r="P14" i="22"/>
  <c r="S14" i="22" s="1"/>
  <c r="Q14" i="22"/>
  <c r="P15" i="22"/>
  <c r="S15" i="22" s="1"/>
  <c r="Q15" i="22"/>
  <c r="P16" i="22"/>
  <c r="Q16" i="22"/>
  <c r="P17" i="22"/>
  <c r="Q17" i="22"/>
  <c r="P18" i="22"/>
  <c r="S18" i="22" s="1"/>
  <c r="Q18" i="22"/>
  <c r="P19" i="22"/>
  <c r="S19" i="22" s="1"/>
  <c r="Q19" i="22"/>
  <c r="P21" i="22"/>
  <c r="S21" i="22" s="1"/>
  <c r="Q21" i="22"/>
  <c r="P22" i="22"/>
  <c r="S22" i="22" s="1"/>
  <c r="Q22" i="22"/>
  <c r="P23" i="22"/>
  <c r="S23" i="22" s="1"/>
  <c r="Q23" i="22"/>
  <c r="P7" i="22"/>
  <c r="P6" i="9"/>
  <c r="S6" i="9" s="1"/>
  <c r="Q6" i="9"/>
  <c r="AC124" i="1"/>
  <c r="AO124" i="1" s="1"/>
  <c r="AC125" i="1"/>
  <c r="AO125" i="1" s="1"/>
  <c r="AC126" i="1"/>
  <c r="AO126" i="1" s="1"/>
  <c r="AC127" i="1"/>
  <c r="AO127" i="1" s="1"/>
  <c r="AC128" i="1"/>
  <c r="AO128" i="1" s="1"/>
  <c r="AC129" i="1"/>
  <c r="AO129" i="1" s="1"/>
  <c r="AC130" i="1"/>
  <c r="AO130" i="1" s="1"/>
  <c r="AC131" i="1"/>
  <c r="AO131" i="1" s="1"/>
  <c r="AA124" i="1"/>
  <c r="AA125" i="1"/>
  <c r="AA126" i="1"/>
  <c r="AA127" i="1"/>
  <c r="AA128" i="1"/>
  <c r="AA129" i="1"/>
  <c r="AA130" i="1"/>
  <c r="AA131" i="1"/>
  <c r="P7" i="13"/>
  <c r="S7" i="13" s="1"/>
  <c r="Q7" i="13"/>
  <c r="P8" i="13"/>
  <c r="S8" i="13" s="1"/>
  <c r="Q8" i="13"/>
  <c r="P9" i="13"/>
  <c r="S9" i="13" s="1"/>
  <c r="Q9" i="13"/>
  <c r="P10" i="13"/>
  <c r="S10" i="13" s="1"/>
  <c r="Q10" i="13"/>
  <c r="AF129" i="1"/>
  <c r="B9" i="13"/>
  <c r="E9" i="13" s="1"/>
  <c r="B10" i="13"/>
  <c r="E10" i="13" s="1"/>
  <c r="P6" i="18"/>
  <c r="S6" i="18" s="1"/>
  <c r="Q6" i="18"/>
  <c r="P7" i="18"/>
  <c r="S7" i="18" s="1"/>
  <c r="Q7" i="18"/>
  <c r="P8" i="18"/>
  <c r="S8" i="18" s="1"/>
  <c r="Q8" i="18"/>
  <c r="P9" i="18"/>
  <c r="S9" i="18" s="1"/>
  <c r="Q9" i="18"/>
  <c r="P10" i="18"/>
  <c r="S10" i="18" s="1"/>
  <c r="Q10" i="18"/>
  <c r="P6" i="17"/>
  <c r="S6" i="17" s="1"/>
  <c r="Q6" i="17"/>
  <c r="P7" i="17"/>
  <c r="S7" i="17" s="1"/>
  <c r="Q7" i="17"/>
  <c r="P8" i="17"/>
  <c r="S8" i="17" s="1"/>
  <c r="Q8" i="17"/>
  <c r="P9" i="17"/>
  <c r="S9" i="17" s="1"/>
  <c r="Q9" i="17"/>
  <c r="P10" i="17"/>
  <c r="S10" i="17" s="1"/>
  <c r="Q10" i="17"/>
  <c r="P11" i="17"/>
  <c r="S11" i="17" s="1"/>
  <c r="Q11" i="17"/>
  <c r="Q5" i="17"/>
  <c r="P5" i="17"/>
  <c r="Q4" i="17"/>
  <c r="P4" i="17"/>
  <c r="S4" i="17" s="1"/>
  <c r="Q3" i="17"/>
  <c r="P3" i="17"/>
  <c r="S3" i="17" s="1"/>
  <c r="Q5" i="18"/>
  <c r="P5" i="18"/>
  <c r="S5" i="18" s="1"/>
  <c r="Q4" i="18"/>
  <c r="P4" i="18"/>
  <c r="S4" i="18" s="1"/>
  <c r="Q3" i="18"/>
  <c r="P3" i="18"/>
  <c r="S3" i="18" s="1"/>
  <c r="B7" i="17"/>
  <c r="B8" i="17"/>
  <c r="B8" i="18"/>
  <c r="AR111" i="1"/>
  <c r="B9" i="18"/>
  <c r="B9" i="17"/>
  <c r="AR115" i="1"/>
  <c r="AR121" i="1"/>
  <c r="AF122" i="1"/>
  <c r="AT123" i="1"/>
  <c r="AA88" i="1"/>
  <c r="AC88" i="1"/>
  <c r="AO88" i="1" s="1"/>
  <c r="AA89" i="1"/>
  <c r="AC89" i="1"/>
  <c r="AO89" i="1" s="1"/>
  <c r="AA90" i="1"/>
  <c r="AC90" i="1"/>
  <c r="AO90" i="1" s="1"/>
  <c r="AA91" i="1"/>
  <c r="AC91" i="1"/>
  <c r="AO91" i="1" s="1"/>
  <c r="AA92" i="1"/>
  <c r="AC92" i="1"/>
  <c r="AO92" i="1" s="1"/>
  <c r="AA93" i="1"/>
  <c r="AC93" i="1"/>
  <c r="AO93" i="1" s="1"/>
  <c r="AA94" i="1"/>
  <c r="AC94" i="1"/>
  <c r="AO94" i="1" s="1"/>
  <c r="AA95" i="1"/>
  <c r="AC95" i="1"/>
  <c r="AO95" i="1" s="1"/>
  <c r="AA96" i="1"/>
  <c r="AC96" i="1"/>
  <c r="AO96" i="1" s="1"/>
  <c r="AA97" i="1"/>
  <c r="AC97" i="1"/>
  <c r="AO97" i="1" s="1"/>
  <c r="AA98" i="1"/>
  <c r="AC98" i="1"/>
  <c r="AO98" i="1" s="1"/>
  <c r="AA99" i="1"/>
  <c r="AC99" i="1"/>
  <c r="AO99" i="1" s="1"/>
  <c r="AA100" i="1"/>
  <c r="AC100" i="1"/>
  <c r="AO100" i="1" s="1"/>
  <c r="AA101" i="1"/>
  <c r="AC101" i="1"/>
  <c r="AO101" i="1" s="1"/>
  <c r="AA102" i="1"/>
  <c r="AC102" i="1"/>
  <c r="AO102" i="1" s="1"/>
  <c r="AA103" i="1"/>
  <c r="AC103" i="1"/>
  <c r="AO103" i="1" s="1"/>
  <c r="AA104" i="1"/>
  <c r="AC104" i="1"/>
  <c r="AO104" i="1" s="1"/>
  <c r="AA105" i="1"/>
  <c r="AC105" i="1"/>
  <c r="AO105" i="1" s="1"/>
  <c r="AA106" i="1"/>
  <c r="AC106" i="1"/>
  <c r="AO106" i="1" s="1"/>
  <c r="AA107" i="1"/>
  <c r="AC107" i="1"/>
  <c r="AO107" i="1" s="1"/>
  <c r="AA108" i="1"/>
  <c r="AC108" i="1"/>
  <c r="AO108" i="1" s="1"/>
  <c r="AA109" i="1"/>
  <c r="AC109" i="1"/>
  <c r="AO109" i="1" s="1"/>
  <c r="AA110" i="1"/>
  <c r="AC110" i="1"/>
  <c r="AO110" i="1" s="1"/>
  <c r="AA111" i="1"/>
  <c r="AC111" i="1"/>
  <c r="AO111" i="1" s="1"/>
  <c r="AA112" i="1"/>
  <c r="AC112" i="1"/>
  <c r="AO112" i="1" s="1"/>
  <c r="AA113" i="1"/>
  <c r="AC113" i="1"/>
  <c r="AO113" i="1" s="1"/>
  <c r="AA114" i="1"/>
  <c r="AC114" i="1"/>
  <c r="AO114" i="1" s="1"/>
  <c r="AA115" i="1"/>
  <c r="AC115" i="1"/>
  <c r="AO115" i="1" s="1"/>
  <c r="AA116" i="1"/>
  <c r="AC116" i="1"/>
  <c r="AO116" i="1" s="1"/>
  <c r="AA117" i="1"/>
  <c r="AC117" i="1"/>
  <c r="AO117" i="1" s="1"/>
  <c r="AA118" i="1"/>
  <c r="AC118" i="1"/>
  <c r="AO118" i="1" s="1"/>
  <c r="AA119" i="1"/>
  <c r="AC119" i="1"/>
  <c r="AO119" i="1" s="1"/>
  <c r="AA120" i="1"/>
  <c r="AC120" i="1"/>
  <c r="AO120" i="1" s="1"/>
  <c r="AA121" i="1"/>
  <c r="AC121" i="1"/>
  <c r="AO121" i="1" s="1"/>
  <c r="AA122" i="1"/>
  <c r="AC122" i="1"/>
  <c r="AO122" i="1" s="1"/>
  <c r="AA123" i="1"/>
  <c r="AC123" i="1"/>
  <c r="AO123" i="1" s="1"/>
  <c r="S43" i="26" l="1"/>
  <c r="S44" i="26"/>
  <c r="S42" i="26"/>
  <c r="S45" i="26"/>
  <c r="S41" i="26"/>
  <c r="S40" i="26"/>
  <c r="S37" i="26"/>
  <c r="S39" i="26"/>
  <c r="S36" i="26"/>
  <c r="S38" i="26"/>
  <c r="S35" i="26"/>
  <c r="S33" i="26"/>
  <c r="S34" i="26"/>
  <c r="S32" i="26"/>
  <c r="S30" i="26"/>
  <c r="S28" i="26"/>
  <c r="S29" i="26"/>
  <c r="Q3" i="26"/>
  <c r="S22" i="26"/>
  <c r="S9" i="26"/>
  <c r="AP131" i="1"/>
  <c r="AQ131" i="1" s="1"/>
  <c r="AS131" i="1" s="1"/>
  <c r="AT131" i="1" s="1"/>
  <c r="S14" i="26"/>
  <c r="S10" i="26"/>
  <c r="S24" i="26"/>
  <c r="S21" i="26"/>
  <c r="S20" i="26"/>
  <c r="S11" i="26"/>
  <c r="AP128" i="1"/>
  <c r="AQ128" i="1" s="1"/>
  <c r="AS128" i="1" s="1"/>
  <c r="AT128" i="1" s="1"/>
  <c r="AP126" i="1"/>
  <c r="AQ126" i="1" s="1"/>
  <c r="AS126" i="1" s="1"/>
  <c r="AT126" i="1" s="1"/>
  <c r="AP129" i="1"/>
  <c r="AQ129" i="1" s="1"/>
  <c r="AS129" i="1" s="1"/>
  <c r="AP127" i="1"/>
  <c r="AQ127" i="1" s="1"/>
  <c r="AS127" i="1" s="1"/>
  <c r="AT127" i="1" s="1"/>
  <c r="AP130" i="1"/>
  <c r="AQ130" i="1" s="1"/>
  <c r="AP124" i="1"/>
  <c r="AQ124" i="1" s="1"/>
  <c r="AR124" i="1" s="1"/>
  <c r="AP120" i="1"/>
  <c r="AQ120" i="1" s="1"/>
  <c r="AP112" i="1"/>
  <c r="AQ112" i="1" s="1"/>
  <c r="AR112" i="1" s="1"/>
  <c r="AP104" i="1"/>
  <c r="AP100" i="1"/>
  <c r="AQ100" i="1" s="1"/>
  <c r="AS100" i="1" s="1"/>
  <c r="AP96" i="1"/>
  <c r="AP92" i="1"/>
  <c r="AP88" i="1"/>
  <c r="AQ88" i="1" s="1"/>
  <c r="AR88" i="1" s="1"/>
  <c r="AP116" i="1"/>
  <c r="AQ116" i="1" s="1"/>
  <c r="AR116" i="1" s="1"/>
  <c r="AP125" i="1"/>
  <c r="AQ125" i="1" s="1"/>
  <c r="AP108" i="1"/>
  <c r="AQ108" i="1" s="1"/>
  <c r="AS108" i="1" s="1"/>
  <c r="AT108" i="1" s="1"/>
  <c r="AP122" i="1"/>
  <c r="AQ122" i="1" s="1"/>
  <c r="AS122" i="1" s="1"/>
  <c r="AP118" i="1"/>
  <c r="AQ118" i="1" s="1"/>
  <c r="AR118" i="1" s="1"/>
  <c r="AP114" i="1"/>
  <c r="AQ114" i="1" s="1"/>
  <c r="AS114" i="1" s="1"/>
  <c r="AT114" i="1" s="1"/>
  <c r="AP110" i="1"/>
  <c r="AQ110" i="1" s="1"/>
  <c r="AS110" i="1" s="1"/>
  <c r="AT110" i="1" s="1"/>
  <c r="AP106" i="1"/>
  <c r="AP102" i="1"/>
  <c r="AP98" i="1"/>
  <c r="AQ98" i="1" s="1"/>
  <c r="AR98" i="1" s="1"/>
  <c r="AP119" i="1"/>
  <c r="AP115" i="1"/>
  <c r="AQ115" i="1" s="1"/>
  <c r="AS115" i="1" s="1"/>
  <c r="AP107" i="1"/>
  <c r="AQ107" i="1" s="1"/>
  <c r="AR107" i="1" s="1"/>
  <c r="AP103" i="1"/>
  <c r="AP99" i="1"/>
  <c r="AQ99" i="1" s="1"/>
  <c r="AS99" i="1" s="1"/>
  <c r="AT99" i="1" s="1"/>
  <c r="AP95" i="1"/>
  <c r="AP91" i="1"/>
  <c r="AP123" i="1"/>
  <c r="AQ123" i="1" s="1"/>
  <c r="AS123" i="1" s="1"/>
  <c r="AP111" i="1"/>
  <c r="AQ111" i="1" s="1"/>
  <c r="AS111" i="1" s="1"/>
  <c r="AP94" i="1"/>
  <c r="AQ94" i="1" s="1"/>
  <c r="AR94" i="1" s="1"/>
  <c r="AP90" i="1"/>
  <c r="AQ90" i="1" s="1"/>
  <c r="AS90" i="1" s="1"/>
  <c r="AP121" i="1"/>
  <c r="AQ121" i="1" s="1"/>
  <c r="AS121" i="1" s="1"/>
  <c r="AP113" i="1"/>
  <c r="AQ113" i="1" s="1"/>
  <c r="AS113" i="1" s="1"/>
  <c r="AT113" i="1" s="1"/>
  <c r="AP105" i="1"/>
  <c r="AP97" i="1"/>
  <c r="AP93" i="1"/>
  <c r="AP89" i="1"/>
  <c r="AQ89" i="1" s="1"/>
  <c r="AP117" i="1"/>
  <c r="AQ117" i="1" s="1"/>
  <c r="AR117" i="1" s="1"/>
  <c r="AP109" i="1"/>
  <c r="AQ109" i="1" s="1"/>
  <c r="AR109" i="1" s="1"/>
  <c r="AP101" i="1"/>
  <c r="R8" i="8"/>
  <c r="R7" i="8"/>
  <c r="R6" i="8"/>
  <c r="B6" i="17"/>
  <c r="D11" i="17"/>
  <c r="B5" i="17"/>
  <c r="E5" i="17" s="1"/>
  <c r="B10" i="17"/>
  <c r="B7" i="13"/>
  <c r="E7" i="13" s="1"/>
  <c r="AR123" i="1"/>
  <c r="B4" i="18"/>
  <c r="AR100" i="1"/>
  <c r="R14" i="25"/>
  <c r="R6" i="9"/>
  <c r="R18" i="22"/>
  <c r="R14" i="22"/>
  <c r="R10" i="22"/>
  <c r="S14" i="25"/>
  <c r="R13" i="22"/>
  <c r="R9" i="22"/>
  <c r="R21" i="22"/>
  <c r="R12" i="22"/>
  <c r="R5" i="24"/>
  <c r="R9" i="24"/>
  <c r="R5" i="18"/>
  <c r="R18" i="23"/>
  <c r="R14" i="23"/>
  <c r="R10" i="23"/>
  <c r="R6" i="23"/>
  <c r="D18" i="23"/>
  <c r="R6" i="24"/>
  <c r="R10" i="24"/>
  <c r="R14" i="24"/>
  <c r="R4" i="25"/>
  <c r="R10" i="25"/>
  <c r="R12" i="25"/>
  <c r="R6" i="10"/>
  <c r="R17" i="23"/>
  <c r="R13" i="23"/>
  <c r="R9" i="23"/>
  <c r="D17" i="23"/>
  <c r="D13" i="23"/>
  <c r="D9" i="23"/>
  <c r="R7" i="10"/>
  <c r="R3" i="18"/>
  <c r="R7" i="13"/>
  <c r="R16" i="23"/>
  <c r="R12" i="23"/>
  <c r="R8" i="23"/>
  <c r="R4" i="23"/>
  <c r="R17" i="22"/>
  <c r="R16" i="22"/>
  <c r="R8" i="22"/>
  <c r="R13" i="25"/>
  <c r="AF121" i="1"/>
  <c r="R23" i="22"/>
  <c r="R19" i="22"/>
  <c r="R15" i="22"/>
  <c r="R11" i="22"/>
  <c r="D10" i="23"/>
  <c r="D6" i="23"/>
  <c r="R9" i="25"/>
  <c r="AF115" i="1"/>
  <c r="AT122" i="1"/>
  <c r="B8" i="13"/>
  <c r="E8" i="13" s="1"/>
  <c r="R8" i="13"/>
  <c r="AT129" i="1"/>
  <c r="S16" i="22"/>
  <c r="AF111" i="1"/>
  <c r="AR122" i="1"/>
  <c r="AT115" i="1"/>
  <c r="AT111" i="1"/>
  <c r="AR129" i="1"/>
  <c r="D5" i="25"/>
  <c r="D7" i="25"/>
  <c r="D11" i="25"/>
  <c r="D13" i="25"/>
  <c r="B7" i="18"/>
  <c r="AF100" i="1"/>
  <c r="S17" i="22"/>
  <c r="R7" i="24"/>
  <c r="R6" i="25"/>
  <c r="R8" i="25"/>
  <c r="B10" i="18"/>
  <c r="R10" i="13"/>
  <c r="D16" i="23"/>
  <c r="D12" i="23"/>
  <c r="D8" i="23"/>
  <c r="AT121" i="1"/>
  <c r="S8" i="22"/>
  <c r="R19" i="23"/>
  <c r="R15" i="23"/>
  <c r="R11" i="23"/>
  <c r="R7" i="23"/>
  <c r="D19" i="23"/>
  <c r="AF123" i="1"/>
  <c r="R9" i="13"/>
  <c r="D15" i="23"/>
  <c r="D11" i="23"/>
  <c r="D7" i="23"/>
  <c r="D6" i="25"/>
  <c r="D10" i="25"/>
  <c r="D14" i="25"/>
  <c r="D9" i="25"/>
  <c r="R11" i="25"/>
  <c r="S13" i="25"/>
  <c r="E14" i="25"/>
  <c r="R5" i="25"/>
  <c r="R7" i="25"/>
  <c r="E6" i="25"/>
  <c r="D4" i="25"/>
  <c r="D8" i="25"/>
  <c r="D14" i="23"/>
  <c r="R22" i="22"/>
  <c r="AR128" i="1"/>
  <c r="R6" i="18"/>
  <c r="R9" i="18"/>
  <c r="R8" i="18"/>
  <c r="R7" i="18"/>
  <c r="R4" i="18"/>
  <c r="R3" i="17"/>
  <c r="R8" i="17"/>
  <c r="R10" i="18"/>
  <c r="R4" i="17"/>
  <c r="R11" i="17"/>
  <c r="R5" i="17"/>
  <c r="R10" i="17"/>
  <c r="R7" i="17"/>
  <c r="S5" i="17"/>
  <c r="R6" i="17"/>
  <c r="R9" i="17"/>
  <c r="AR126" i="1" l="1"/>
  <c r="AS107" i="1"/>
  <c r="AT107" i="1" s="1"/>
  <c r="AQ103" i="1"/>
  <c r="AS103" i="1" s="1"/>
  <c r="AT103" i="1" s="1"/>
  <c r="AQ101" i="1"/>
  <c r="AS101" i="1" s="1"/>
  <c r="AT101" i="1" s="1"/>
  <c r="B4" i="17"/>
  <c r="AR130" i="1"/>
  <c r="AS130" i="1"/>
  <c r="AT130" i="1" s="1"/>
  <c r="AS89" i="1"/>
  <c r="AT89" i="1" s="1"/>
  <c r="AQ97" i="1"/>
  <c r="AS97" i="1" s="1"/>
  <c r="AQ96" i="1"/>
  <c r="AS96" i="1" s="1"/>
  <c r="AQ95" i="1"/>
  <c r="AS95" i="1" s="1"/>
  <c r="AT95" i="1" s="1"/>
  <c r="AQ92" i="1"/>
  <c r="AR92" i="1" s="1"/>
  <c r="AQ93" i="1"/>
  <c r="AR93" i="1" s="1"/>
  <c r="AQ119" i="1"/>
  <c r="AS119" i="1" s="1"/>
  <c r="AT119" i="1" s="1"/>
  <c r="AQ106" i="1"/>
  <c r="AR106" i="1" s="1"/>
  <c r="AR110" i="1"/>
  <c r="AQ104" i="1"/>
  <c r="AS104" i="1" s="1"/>
  <c r="AT104" i="1" s="1"/>
  <c r="AR89" i="1"/>
  <c r="AQ105" i="1"/>
  <c r="AS105" i="1" s="1"/>
  <c r="AT105" i="1" s="1"/>
  <c r="AQ91" i="1"/>
  <c r="AR91" i="1" s="1"/>
  <c r="AS124" i="1"/>
  <c r="AT124" i="1" s="1"/>
  <c r="AR127" i="1"/>
  <c r="AR108" i="1"/>
  <c r="AR131" i="1"/>
  <c r="AQ102" i="1"/>
  <c r="AS102" i="1" s="1"/>
  <c r="AT102" i="1" s="1"/>
  <c r="B6" i="18"/>
  <c r="AS109" i="1"/>
  <c r="AT109" i="1" s="1"/>
  <c r="AS116" i="1"/>
  <c r="AT116" i="1" s="1"/>
  <c r="AS118" i="1"/>
  <c r="AT118" i="1" s="1"/>
  <c r="AS112" i="1"/>
  <c r="AT112" i="1" s="1"/>
  <c r="AS94" i="1"/>
  <c r="AT94" i="1" s="1"/>
  <c r="B5" i="18"/>
  <c r="B3" i="18"/>
  <c r="AR101" i="1"/>
  <c r="B3" i="17"/>
  <c r="AR120" i="1"/>
  <c r="AS120" i="1"/>
  <c r="AT120" i="1" s="1"/>
  <c r="AR113" i="1"/>
  <c r="AS117" i="1"/>
  <c r="AT117" i="1" s="1"/>
  <c r="AR114" i="1"/>
  <c r="AR99" i="1"/>
  <c r="AR103" i="1"/>
  <c r="AT90" i="1"/>
  <c r="AR90" i="1"/>
  <c r="AS98" i="1"/>
  <c r="AT98" i="1" s="1"/>
  <c r="AS125" i="1"/>
  <c r="AT125" i="1" s="1"/>
  <c r="AS88" i="1"/>
  <c r="AT88" i="1" s="1"/>
  <c r="AR125" i="1"/>
  <c r="P4" i="9"/>
  <c r="Q5" i="10"/>
  <c r="P5" i="10"/>
  <c r="S5" i="10" s="1"/>
  <c r="P4" i="10"/>
  <c r="Q6" i="13"/>
  <c r="P6" i="13"/>
  <c r="S6" i="13" s="1"/>
  <c r="P3" i="13"/>
  <c r="Q23" i="12"/>
  <c r="P23" i="12"/>
  <c r="S23" i="12" s="1"/>
  <c r="Q22" i="12"/>
  <c r="P22" i="12"/>
  <c r="Q21" i="12"/>
  <c r="P21" i="12"/>
  <c r="Q20" i="12"/>
  <c r="P20" i="12"/>
  <c r="S20" i="12" s="1"/>
  <c r="Q19" i="12"/>
  <c r="P19" i="12"/>
  <c r="S19" i="12" s="1"/>
  <c r="Q18" i="12"/>
  <c r="P18" i="12"/>
  <c r="S18" i="12" s="1"/>
  <c r="Q17" i="12"/>
  <c r="P17" i="12"/>
  <c r="S17" i="12" s="1"/>
  <c r="Q16" i="12"/>
  <c r="P16" i="12"/>
  <c r="S16" i="12" s="1"/>
  <c r="Q15" i="12"/>
  <c r="P15" i="12"/>
  <c r="S15" i="12" s="1"/>
  <c r="Q14" i="12"/>
  <c r="P14" i="12"/>
  <c r="S14" i="12" s="1"/>
  <c r="Q12" i="12"/>
  <c r="P12" i="12"/>
  <c r="S12" i="12" s="1"/>
  <c r="Q11" i="12"/>
  <c r="P11" i="12"/>
  <c r="S11" i="12" s="1"/>
  <c r="Q10" i="12"/>
  <c r="P10" i="12"/>
  <c r="S10" i="12" s="1"/>
  <c r="Q9" i="12"/>
  <c r="P9" i="12"/>
  <c r="Q8" i="12"/>
  <c r="P8" i="12"/>
  <c r="P7" i="12"/>
  <c r="P13" i="11"/>
  <c r="P12" i="11"/>
  <c r="P11" i="11"/>
  <c r="Q10" i="11"/>
  <c r="P10" i="11"/>
  <c r="S10" i="11" s="1"/>
  <c r="Q9" i="11"/>
  <c r="P9" i="11"/>
  <c r="S9" i="11" s="1"/>
  <c r="P8" i="11"/>
  <c r="Q7" i="11"/>
  <c r="P7" i="11"/>
  <c r="S7" i="11" s="1"/>
  <c r="Q6" i="11"/>
  <c r="P6" i="11"/>
  <c r="S6" i="11" s="1"/>
  <c r="Q5" i="11"/>
  <c r="P5" i="11"/>
  <c r="S5" i="11" s="1"/>
  <c r="P3" i="11"/>
  <c r="Q12" i="14"/>
  <c r="P12" i="14"/>
  <c r="S12" i="14" s="1"/>
  <c r="P11" i="14"/>
  <c r="Q10" i="14"/>
  <c r="P10" i="14"/>
  <c r="S10" i="14" s="1"/>
  <c r="P9" i="14"/>
  <c r="Q8" i="14"/>
  <c r="P8" i="14"/>
  <c r="S8" i="14" s="1"/>
  <c r="Q7" i="14"/>
  <c r="P7" i="14"/>
  <c r="S7" i="14" s="1"/>
  <c r="P6" i="14"/>
  <c r="Q5" i="14"/>
  <c r="P5" i="14"/>
  <c r="S5" i="14" s="1"/>
  <c r="Q4" i="14"/>
  <c r="P4" i="14"/>
  <c r="P3" i="14"/>
  <c r="P3" i="8"/>
  <c r="AA69" i="1"/>
  <c r="AA71" i="1"/>
  <c r="AA72" i="1"/>
  <c r="AA73" i="1"/>
  <c r="AA76" i="1"/>
  <c r="AA77" i="1"/>
  <c r="AA78" i="1"/>
  <c r="AA79" i="1"/>
  <c r="AA80" i="1"/>
  <c r="AA81" i="1"/>
  <c r="AA82" i="1"/>
  <c r="AA83" i="1"/>
  <c r="AA84" i="1"/>
  <c r="AA85" i="1"/>
  <c r="AA86" i="1"/>
  <c r="AA87" i="1"/>
  <c r="AC69" i="1"/>
  <c r="AO69" i="1" s="1"/>
  <c r="AC71" i="1"/>
  <c r="AO71" i="1" s="1"/>
  <c r="AC72" i="1"/>
  <c r="AO72" i="1" s="1"/>
  <c r="AC73" i="1"/>
  <c r="AO73" i="1" s="1"/>
  <c r="AC76" i="1"/>
  <c r="AO76" i="1" s="1"/>
  <c r="AC77" i="1"/>
  <c r="AO77" i="1" s="1"/>
  <c r="AC78" i="1"/>
  <c r="AO78" i="1" s="1"/>
  <c r="AC79" i="1"/>
  <c r="AO79" i="1" s="1"/>
  <c r="AC80" i="1"/>
  <c r="AO80" i="1" s="1"/>
  <c r="AC81" i="1"/>
  <c r="AO81" i="1" s="1"/>
  <c r="AC82" i="1"/>
  <c r="AO82" i="1" s="1"/>
  <c r="AC83" i="1"/>
  <c r="AO83" i="1" s="1"/>
  <c r="AC84" i="1"/>
  <c r="AO84" i="1" s="1"/>
  <c r="AC85" i="1"/>
  <c r="AO85" i="1" s="1"/>
  <c r="AC86" i="1"/>
  <c r="AO86" i="1" s="1"/>
  <c r="AC87" i="1"/>
  <c r="AO87" i="1" s="1"/>
  <c r="B9" i="11"/>
  <c r="B23" i="12"/>
  <c r="AA132" i="1"/>
  <c r="AC132" i="1"/>
  <c r="AO132" i="1" s="1"/>
  <c r="AA55" i="1"/>
  <c r="AC55" i="1"/>
  <c r="AO55" i="1" s="1"/>
  <c r="AA56" i="1"/>
  <c r="AC56" i="1"/>
  <c r="AO56" i="1" s="1"/>
  <c r="AA57" i="1"/>
  <c r="AC57" i="1"/>
  <c r="AO57" i="1" s="1"/>
  <c r="AA58" i="1"/>
  <c r="AC58" i="1"/>
  <c r="AO58" i="1" s="1"/>
  <c r="AA59" i="1"/>
  <c r="AC59" i="1"/>
  <c r="AO59" i="1" s="1"/>
  <c r="AA60" i="1"/>
  <c r="AC60" i="1"/>
  <c r="AO60" i="1" s="1"/>
  <c r="AA61" i="1"/>
  <c r="AC61" i="1"/>
  <c r="AO61" i="1" s="1"/>
  <c r="AA62" i="1"/>
  <c r="AC62" i="1"/>
  <c r="AO62" i="1" s="1"/>
  <c r="AA63" i="1"/>
  <c r="AC63" i="1"/>
  <c r="AO63" i="1" s="1"/>
  <c r="AA64" i="1"/>
  <c r="AC64" i="1"/>
  <c r="AO64" i="1" s="1"/>
  <c r="AA65" i="1"/>
  <c r="AC65" i="1"/>
  <c r="AO65" i="1" s="1"/>
  <c r="AA66" i="1"/>
  <c r="AC66" i="1"/>
  <c r="AO66" i="1" s="1"/>
  <c r="AA67" i="1"/>
  <c r="AC67" i="1"/>
  <c r="AO67" i="1" s="1"/>
  <c r="AA68" i="1"/>
  <c r="AC68" i="1"/>
  <c r="AO68" i="1" s="1"/>
  <c r="P13" i="12"/>
  <c r="AA2" i="1"/>
  <c r="AC2" i="1"/>
  <c r="AO2" i="1" s="1"/>
  <c r="AA3" i="1"/>
  <c r="AC3" i="1"/>
  <c r="AO3" i="1" s="1"/>
  <c r="AA4" i="1"/>
  <c r="AC4" i="1"/>
  <c r="AO4" i="1" s="1"/>
  <c r="AA5" i="1"/>
  <c r="AA6" i="1"/>
  <c r="AC6" i="1"/>
  <c r="AO6" i="1" s="1"/>
  <c r="AA7" i="1"/>
  <c r="AC7" i="1"/>
  <c r="AO7" i="1" s="1"/>
  <c r="AA8" i="1"/>
  <c r="AA9" i="1"/>
  <c r="AA10" i="1"/>
  <c r="AA11" i="1"/>
  <c r="AC11" i="1"/>
  <c r="AO11" i="1" s="1"/>
  <c r="AA12" i="1"/>
  <c r="AA27" i="1"/>
  <c r="AC27" i="1"/>
  <c r="AO27" i="1" s="1"/>
  <c r="AA34" i="1"/>
  <c r="AA35" i="1"/>
  <c r="AA28" i="1"/>
  <c r="AC28" i="1"/>
  <c r="AO28" i="1" s="1"/>
  <c r="AA29" i="1"/>
  <c r="AC29" i="1"/>
  <c r="AO29" i="1" s="1"/>
  <c r="AA36" i="1"/>
  <c r="AC36" i="1"/>
  <c r="AO36" i="1" s="1"/>
  <c r="AA13" i="1"/>
  <c r="AC13" i="1"/>
  <c r="AO13" i="1" s="1"/>
  <c r="AA37" i="1"/>
  <c r="AC37" i="1"/>
  <c r="AO37" i="1" s="1"/>
  <c r="AA30" i="1"/>
  <c r="AC30" i="1"/>
  <c r="AO30" i="1" s="1"/>
  <c r="AA38" i="1"/>
  <c r="AC38" i="1"/>
  <c r="AO38" i="1" s="1"/>
  <c r="AA40" i="1"/>
  <c r="AC40" i="1"/>
  <c r="AA41" i="1"/>
  <c r="AC41" i="1"/>
  <c r="AO41" i="1" s="1"/>
  <c r="AA42" i="1"/>
  <c r="AC42" i="1"/>
  <c r="AO42" i="1" s="1"/>
  <c r="AA43" i="1"/>
  <c r="AC43" i="1"/>
  <c r="AO43" i="1" s="1"/>
  <c r="AA44" i="1"/>
  <c r="AC44" i="1"/>
  <c r="AO44" i="1" s="1"/>
  <c r="AA45" i="1"/>
  <c r="AC45" i="1"/>
  <c r="AO45" i="1" s="1"/>
  <c r="AA46" i="1"/>
  <c r="AC46" i="1"/>
  <c r="AO46" i="1" s="1"/>
  <c r="AA47" i="1"/>
  <c r="AC47" i="1"/>
  <c r="AO47" i="1" s="1"/>
  <c r="AA48" i="1"/>
  <c r="AC48" i="1"/>
  <c r="AO48" i="1" s="1"/>
  <c r="AA49" i="1"/>
  <c r="AC49" i="1"/>
  <c r="AO49" i="1" s="1"/>
  <c r="AA50" i="1"/>
  <c r="AC50" i="1"/>
  <c r="AO50" i="1" s="1"/>
  <c r="AA51" i="1"/>
  <c r="AC51" i="1"/>
  <c r="AO51" i="1" s="1"/>
  <c r="AA52" i="1"/>
  <c r="AP52" i="1" s="1"/>
  <c r="AA53" i="1"/>
  <c r="AC53" i="1"/>
  <c r="AO53" i="1" s="1"/>
  <c r="AA54" i="1"/>
  <c r="AC54" i="1"/>
  <c r="AO54" i="1" s="1"/>
  <c r="AP73" i="1" l="1"/>
  <c r="AQ73" i="1" s="1"/>
  <c r="AP71" i="1"/>
  <c r="AQ71" i="1" s="1"/>
  <c r="AP72" i="1"/>
  <c r="AQ72" i="1" s="1"/>
  <c r="AR73" i="1"/>
  <c r="AS73" i="1"/>
  <c r="AT73" i="1"/>
  <c r="AO40" i="1"/>
  <c r="AP40" i="1"/>
  <c r="AP68" i="1"/>
  <c r="AQ68" i="1" s="1"/>
  <c r="AS68" i="1" s="1"/>
  <c r="AT68" i="1" s="1"/>
  <c r="AP64" i="1"/>
  <c r="AQ64" i="1" s="1"/>
  <c r="AP60" i="1"/>
  <c r="AQ60" i="1" s="1"/>
  <c r="AR60" i="1" s="1"/>
  <c r="AP56" i="1"/>
  <c r="AQ56" i="1" s="1"/>
  <c r="AS56" i="1" s="1"/>
  <c r="AP50" i="1"/>
  <c r="AP46" i="1"/>
  <c r="AP42" i="1"/>
  <c r="AP38" i="1"/>
  <c r="AP13" i="1"/>
  <c r="AP11" i="1"/>
  <c r="R12" i="26" s="1"/>
  <c r="S12" i="26" s="1"/>
  <c r="T12" i="26" s="1"/>
  <c r="AP7" i="1"/>
  <c r="AP3" i="1"/>
  <c r="R4" i="26" s="1"/>
  <c r="S4" i="26" s="1"/>
  <c r="T4" i="26" s="1"/>
  <c r="AP41" i="1"/>
  <c r="AP30" i="1"/>
  <c r="AP36" i="1"/>
  <c r="AP6" i="1"/>
  <c r="R7" i="26" s="1"/>
  <c r="S7" i="26" s="1"/>
  <c r="T7" i="26" s="1"/>
  <c r="AP2" i="1"/>
  <c r="AP61" i="1"/>
  <c r="AQ61" i="1" s="1"/>
  <c r="AR61" i="1" s="1"/>
  <c r="AP65" i="1"/>
  <c r="AQ65" i="1" s="1"/>
  <c r="AS65" i="1" s="1"/>
  <c r="AP45" i="1"/>
  <c r="AP49" i="1"/>
  <c r="AP83" i="1"/>
  <c r="AQ83" i="1" s="1"/>
  <c r="AS83" i="1" s="1"/>
  <c r="AT83" i="1" s="1"/>
  <c r="AP54" i="1"/>
  <c r="AP66" i="1"/>
  <c r="AQ66" i="1" s="1"/>
  <c r="AS66" i="1" s="1"/>
  <c r="AP62" i="1"/>
  <c r="AQ62" i="1" s="1"/>
  <c r="AS62" i="1" s="1"/>
  <c r="AT62" i="1" s="1"/>
  <c r="AP58" i="1"/>
  <c r="AQ58" i="1" s="1"/>
  <c r="AS58" i="1" s="1"/>
  <c r="AT58" i="1" s="1"/>
  <c r="AP132" i="1"/>
  <c r="AP82" i="1"/>
  <c r="AQ82" i="1" s="1"/>
  <c r="AS82" i="1" s="1"/>
  <c r="AP81" i="1"/>
  <c r="AQ81" i="1" s="1"/>
  <c r="AS81" i="1" s="1"/>
  <c r="AP57" i="1"/>
  <c r="AQ57" i="1" s="1"/>
  <c r="AR57" i="1" s="1"/>
  <c r="AP80" i="1"/>
  <c r="AQ80" i="1" s="1"/>
  <c r="AS80" i="1" s="1"/>
  <c r="AP69" i="1"/>
  <c r="AQ69" i="1" s="1"/>
  <c r="AS69" i="1" s="1"/>
  <c r="AP48" i="1"/>
  <c r="AP44" i="1"/>
  <c r="AP29" i="1"/>
  <c r="AP27" i="1"/>
  <c r="AP87" i="1"/>
  <c r="AQ87" i="1" s="1"/>
  <c r="AS87" i="1" s="1"/>
  <c r="AP79" i="1"/>
  <c r="AQ79" i="1" s="1"/>
  <c r="AS79" i="1" s="1"/>
  <c r="AT79" i="1" s="1"/>
  <c r="AP86" i="1"/>
  <c r="AQ86" i="1" s="1"/>
  <c r="AR86" i="1" s="1"/>
  <c r="AP78" i="1"/>
  <c r="AQ78" i="1" s="1"/>
  <c r="AR78" i="1" s="1"/>
  <c r="AP53" i="1"/>
  <c r="AP51" i="1"/>
  <c r="AP43" i="1"/>
  <c r="AP37" i="1"/>
  <c r="AP28" i="1"/>
  <c r="AP4" i="1"/>
  <c r="AP85" i="1"/>
  <c r="AQ85" i="1" s="1"/>
  <c r="AP77" i="1"/>
  <c r="AQ77" i="1" s="1"/>
  <c r="AP47" i="1"/>
  <c r="AP67" i="1"/>
  <c r="AQ67" i="1" s="1"/>
  <c r="AR67" i="1" s="1"/>
  <c r="AP63" i="1"/>
  <c r="AQ63" i="1" s="1"/>
  <c r="AP59" i="1"/>
  <c r="AQ59" i="1" s="1"/>
  <c r="AR59" i="1" s="1"/>
  <c r="AP55" i="1"/>
  <c r="AQ55" i="1" s="1"/>
  <c r="AS55" i="1" s="1"/>
  <c r="AT55" i="1" s="1"/>
  <c r="AP84" i="1"/>
  <c r="AQ84" i="1" s="1"/>
  <c r="AR84" i="1" s="1"/>
  <c r="AP76" i="1"/>
  <c r="AQ76" i="1" s="1"/>
  <c r="AR76" i="1" s="1"/>
  <c r="AS91" i="1"/>
  <c r="AT91" i="1" s="1"/>
  <c r="AT96" i="1"/>
  <c r="AS92" i="1"/>
  <c r="AT92" i="1" s="1"/>
  <c r="AR97" i="1"/>
  <c r="AR95" i="1"/>
  <c r="AT97" i="1"/>
  <c r="AR96" i="1"/>
  <c r="AS93" i="1"/>
  <c r="AT93" i="1" s="1"/>
  <c r="AS106" i="1"/>
  <c r="AT106" i="1" s="1"/>
  <c r="AR105" i="1"/>
  <c r="AR119" i="1"/>
  <c r="AR104" i="1"/>
  <c r="B21" i="12"/>
  <c r="P4" i="11"/>
  <c r="AR102" i="1"/>
  <c r="B5" i="13"/>
  <c r="B13" i="24"/>
  <c r="B21" i="22"/>
  <c r="B7" i="10"/>
  <c r="B11" i="24"/>
  <c r="B6" i="13"/>
  <c r="E6" i="13" s="1"/>
  <c r="B4" i="23"/>
  <c r="B11" i="11"/>
  <c r="P4" i="24"/>
  <c r="P20" i="22"/>
  <c r="B23" i="22"/>
  <c r="B13" i="11"/>
  <c r="P3" i="10"/>
  <c r="P3" i="9"/>
  <c r="B9" i="24"/>
  <c r="P5" i="13"/>
  <c r="S5" i="13" s="1"/>
  <c r="R22" i="12"/>
  <c r="S22" i="12"/>
  <c r="R23" i="12"/>
  <c r="R6" i="13"/>
  <c r="R10" i="11"/>
  <c r="R4" i="14"/>
  <c r="R6" i="11"/>
  <c r="R12" i="14"/>
  <c r="R10" i="14"/>
  <c r="R17" i="12"/>
  <c r="R11" i="12"/>
  <c r="R15" i="12"/>
  <c r="R20" i="12"/>
  <c r="R16" i="12"/>
  <c r="R12" i="12"/>
  <c r="R21" i="12"/>
  <c r="S21" i="12" s="1"/>
  <c r="R10" i="12"/>
  <c r="R14" i="12"/>
  <c r="R19" i="12"/>
  <c r="R18" i="12"/>
  <c r="S4" i="14"/>
  <c r="R5" i="14"/>
  <c r="R8" i="14"/>
  <c r="R7" i="14"/>
  <c r="R7" i="11"/>
  <c r="R5" i="11"/>
  <c r="R9" i="11"/>
  <c r="R5" i="10"/>
  <c r="AS72" i="1" l="1"/>
  <c r="AR72" i="1"/>
  <c r="AS71" i="1"/>
  <c r="AR71" i="1"/>
  <c r="AT72" i="1"/>
  <c r="R31" i="26"/>
  <c r="S31" i="26" s="1"/>
  <c r="T31" i="26" s="1"/>
  <c r="Q3" i="13"/>
  <c r="Q13" i="24"/>
  <c r="R13" i="24" s="1"/>
  <c r="S13" i="24" s="1"/>
  <c r="R5" i="26"/>
  <c r="S5" i="26" s="1"/>
  <c r="T5" i="26" s="1"/>
  <c r="Q13" i="11"/>
  <c r="R13" i="11" s="1"/>
  <c r="S13" i="11" s="1"/>
  <c r="Q12" i="24"/>
  <c r="R12" i="24" s="1"/>
  <c r="S12" i="24" s="1"/>
  <c r="R3" i="26"/>
  <c r="S3" i="26" s="1"/>
  <c r="T3" i="26" s="1"/>
  <c r="Q12" i="11"/>
  <c r="R12" i="11" s="1"/>
  <c r="S12" i="11" s="1"/>
  <c r="R8" i="26"/>
  <c r="S8" i="26" s="1"/>
  <c r="T8" i="26" s="1"/>
  <c r="Q11" i="24"/>
  <c r="R11" i="24" s="1"/>
  <c r="S11" i="24" s="1"/>
  <c r="Q11" i="11"/>
  <c r="R11" i="11" s="1"/>
  <c r="S11" i="11" s="1"/>
  <c r="Q5" i="13"/>
  <c r="AS84" i="1"/>
  <c r="AT84" i="1" s="1"/>
  <c r="AQ132" i="1"/>
  <c r="AR132" i="1" s="1"/>
  <c r="AS78" i="1"/>
  <c r="AT78" i="1" s="1"/>
  <c r="AR68" i="1"/>
  <c r="Q4" i="24"/>
  <c r="R4" i="24" s="1"/>
  <c r="S4" i="24" s="1"/>
  <c r="AS61" i="1"/>
  <c r="AT61" i="1" s="1"/>
  <c r="Q4" i="11"/>
  <c r="R4" i="11" s="1"/>
  <c r="S4" i="11" s="1"/>
  <c r="AS77" i="1"/>
  <c r="AT77" i="1" s="1"/>
  <c r="AR77" i="1"/>
  <c r="AS67" i="1"/>
  <c r="AT67" i="1" s="1"/>
  <c r="AR58" i="1"/>
  <c r="AS76" i="1"/>
  <c r="AT76" i="1" s="1"/>
  <c r="AR79" i="1"/>
  <c r="AR85" i="1"/>
  <c r="AS85" i="1"/>
  <c r="AT85" i="1" s="1"/>
  <c r="AS64" i="1"/>
  <c r="AT64" i="1" s="1"/>
  <c r="AR64" i="1"/>
  <c r="AR83" i="1"/>
  <c r="AS57" i="1"/>
  <c r="AT57" i="1" s="1"/>
  <c r="AR55" i="1"/>
  <c r="AT66" i="1"/>
  <c r="AR62" i="1"/>
  <c r="AS59" i="1"/>
  <c r="AT59" i="1" s="1"/>
  <c r="AT87" i="1"/>
  <c r="AT82" i="1"/>
  <c r="AR82" i="1"/>
  <c r="AS63" i="1"/>
  <c r="AT63" i="1" s="1"/>
  <c r="AT69" i="1"/>
  <c r="AT65" i="1"/>
  <c r="AS60" i="1"/>
  <c r="AT60" i="1" s="1"/>
  <c r="AS86" i="1"/>
  <c r="AT86" i="1" s="1"/>
  <c r="AR81" i="1"/>
  <c r="AT80" i="1"/>
  <c r="AR80" i="1"/>
  <c r="AR56" i="1"/>
  <c r="AR87" i="1"/>
  <c r="AR65" i="1"/>
  <c r="AR69" i="1"/>
  <c r="AT81" i="1"/>
  <c r="AT56" i="1"/>
  <c r="AR66" i="1"/>
  <c r="AR63" i="1"/>
  <c r="AT71" i="1" l="1"/>
  <c r="AS132" i="1"/>
  <c r="AT132" i="1" s="1"/>
  <c r="B5" i="8"/>
  <c r="B4" i="9"/>
  <c r="AQ53" i="1"/>
  <c r="AR53" i="1" s="1"/>
  <c r="B17" i="22"/>
  <c r="B18" i="12"/>
  <c r="AQ7" i="1"/>
  <c r="B5" i="10"/>
  <c r="B16" i="22"/>
  <c r="B5" i="14"/>
  <c r="B17" i="12"/>
  <c r="AQ50" i="1"/>
  <c r="AR50" i="1" s="1"/>
  <c r="B12" i="22"/>
  <c r="B12" i="12"/>
  <c r="AQ45" i="1"/>
  <c r="AS45" i="1" s="1"/>
  <c r="AQ44" i="1"/>
  <c r="AR44" i="1" s="1"/>
  <c r="AQ43" i="1"/>
  <c r="AR43" i="1" s="1"/>
  <c r="AQ4" i="1"/>
  <c r="AR4" i="1" s="1"/>
  <c r="AQ30" i="1"/>
  <c r="AR30" i="1" s="1"/>
  <c r="B3" i="23"/>
  <c r="B3" i="25"/>
  <c r="B14" i="11"/>
  <c r="B11" i="14"/>
  <c r="B10" i="14"/>
  <c r="AQ51" i="1"/>
  <c r="AQ41" i="1"/>
  <c r="AS41" i="1" s="1"/>
  <c r="B10" i="24"/>
  <c r="B10" i="11"/>
  <c r="B20" i="22"/>
  <c r="B6" i="24"/>
  <c r="B13" i="12"/>
  <c r="B6" i="11"/>
  <c r="B9" i="14"/>
  <c r="B3" i="14"/>
  <c r="AQ2" i="1"/>
  <c r="AR2" i="1" s="1"/>
  <c r="AQ27" i="1"/>
  <c r="AR27" i="1" s="1"/>
  <c r="B7" i="24"/>
  <c r="B7" i="11"/>
  <c r="AQ49" i="1"/>
  <c r="AR49" i="1" s="1"/>
  <c r="B10" i="22"/>
  <c r="B12" i="14"/>
  <c r="B10" i="12"/>
  <c r="B8" i="14"/>
  <c r="B18" i="22"/>
  <c r="B19" i="12"/>
  <c r="B19" i="22"/>
  <c r="B20" i="12"/>
  <c r="B6" i="14"/>
  <c r="AQ37" i="1"/>
  <c r="AR37" i="1" s="1"/>
  <c r="AQ42" i="1"/>
  <c r="AR42" i="1" s="1"/>
  <c r="AQ13" i="1"/>
  <c r="AS13" i="1" s="1"/>
  <c r="AT13" i="1" s="1"/>
  <c r="AQ48" i="1"/>
  <c r="AS48" i="1" s="1"/>
  <c r="AT48" i="1" s="1"/>
  <c r="AQ47" i="1"/>
  <c r="AQ54" i="1"/>
  <c r="AS54" i="1" s="1"/>
  <c r="AQ46" i="1"/>
  <c r="AR46" i="1" s="1"/>
  <c r="AQ38" i="1"/>
  <c r="AR38" i="1" s="1"/>
  <c r="B22" i="22"/>
  <c r="B22" i="12"/>
  <c r="B13" i="22"/>
  <c r="B14" i="12"/>
  <c r="AQ36" i="1"/>
  <c r="AR36" i="1" s="1"/>
  <c r="AQ29" i="1"/>
  <c r="AQ11" i="1"/>
  <c r="AR11" i="1" s="1"/>
  <c r="AQ40" i="1"/>
  <c r="AR40" i="1" s="1"/>
  <c r="AQ28" i="1"/>
  <c r="AR28" i="1" s="1"/>
  <c r="AQ3" i="1"/>
  <c r="AR3" i="1" s="1"/>
  <c r="AQ6" i="1"/>
  <c r="AS50" i="1" l="1"/>
  <c r="AT50" i="1" s="1"/>
  <c r="AS53" i="1"/>
  <c r="AT53" i="1" s="1"/>
  <c r="AS38" i="1"/>
  <c r="AT38" i="1" s="1"/>
  <c r="AS37" i="1"/>
  <c r="AT37" i="1" s="1"/>
  <c r="AS46" i="1"/>
  <c r="AT46" i="1" s="1"/>
  <c r="AS27" i="1"/>
  <c r="AT27" i="1" s="1"/>
  <c r="AR41" i="1"/>
  <c r="AS44" i="1"/>
  <c r="AT44" i="1" s="1"/>
  <c r="AR48" i="1"/>
  <c r="AS4" i="1"/>
  <c r="AT4" i="1" s="1"/>
  <c r="AS42" i="1"/>
  <c r="AT42" i="1" s="1"/>
  <c r="AR45" i="1"/>
  <c r="AS30" i="1"/>
  <c r="AT30" i="1" s="1"/>
  <c r="AR13" i="1"/>
  <c r="AT41" i="1"/>
  <c r="AR54" i="1"/>
  <c r="AS43" i="1"/>
  <c r="AT43" i="1" s="1"/>
  <c r="AT45" i="1"/>
  <c r="AR6" i="1"/>
  <c r="AT54" i="1"/>
  <c r="AS47" i="1"/>
  <c r="AT47" i="1" s="1"/>
  <c r="AR29" i="1"/>
  <c r="AS7" i="1"/>
  <c r="AR47" i="1"/>
  <c r="AR51" i="1"/>
  <c r="AR7" i="1"/>
  <c r="AS51" i="1"/>
  <c r="AT51" i="1" s="1"/>
  <c r="AS2" i="1"/>
  <c r="AS49" i="1"/>
  <c r="AT49" i="1" s="1"/>
  <c r="AS29" i="1"/>
  <c r="AT29" i="1" s="1"/>
  <c r="AS40" i="1"/>
  <c r="AT40" i="1" s="1"/>
  <c r="AS6" i="1"/>
  <c r="AT6" i="1" s="1"/>
  <c r="AS3" i="1"/>
  <c r="AS11" i="1"/>
  <c r="AT11" i="1" s="1"/>
  <c r="AS28" i="1"/>
  <c r="AT28" i="1" s="1"/>
  <c r="AS36" i="1"/>
  <c r="AT36" i="1" s="1"/>
  <c r="S9" i="12"/>
  <c r="AA21" i="1"/>
  <c r="AA22" i="1"/>
  <c r="AA23" i="1"/>
  <c r="AA25" i="1"/>
  <c r="AA26" i="1"/>
  <c r="AA31" i="1"/>
  <c r="AP31" i="1" s="1"/>
  <c r="AA32" i="1"/>
  <c r="AA33" i="1"/>
  <c r="AC19" i="1"/>
  <c r="AO19" i="1" s="1"/>
  <c r="AC21" i="1"/>
  <c r="AO21" i="1" s="1"/>
  <c r="AC25" i="1"/>
  <c r="AO25" i="1" s="1"/>
  <c r="AC26" i="1"/>
  <c r="AO26" i="1" s="1"/>
  <c r="AC18" i="1"/>
  <c r="AO18" i="1" s="1"/>
  <c r="AC24" i="1"/>
  <c r="AO24" i="1" s="1"/>
  <c r="AA19" i="1"/>
  <c r="AA20" i="1"/>
  <c r="AA18" i="1"/>
  <c r="AC5" i="1"/>
  <c r="AO5" i="1" s="1"/>
  <c r="AC23" i="1"/>
  <c r="AO23" i="1" s="1"/>
  <c r="AC22" i="1"/>
  <c r="AO22" i="1" s="1"/>
  <c r="AC20" i="1"/>
  <c r="AO20" i="1" s="1"/>
  <c r="AC34" i="1"/>
  <c r="AO34" i="1" s="1"/>
  <c r="AC33" i="1"/>
  <c r="AO33" i="1" s="1"/>
  <c r="AC35" i="1"/>
  <c r="AO35" i="1" s="1"/>
  <c r="AC8" i="1"/>
  <c r="AO8" i="1" s="1"/>
  <c r="B2" i="3"/>
  <c r="AP25" i="1" l="1"/>
  <c r="AQ25" i="1" s="1"/>
  <c r="AB17" i="1"/>
  <c r="AD17" i="1" s="1"/>
  <c r="AE17" i="1" s="1"/>
  <c r="AF17" i="1" s="1"/>
  <c r="AB16" i="1"/>
  <c r="AD16" i="1" s="1"/>
  <c r="AE16" i="1" s="1"/>
  <c r="AF16" i="1" s="1"/>
  <c r="AT7" i="1"/>
  <c r="AT2" i="1"/>
  <c r="K2" i="42"/>
  <c r="AT3" i="1"/>
  <c r="K3" i="42"/>
  <c r="AB15" i="1"/>
  <c r="AB14" i="1"/>
  <c r="AD14" i="1" s="1"/>
  <c r="AE14" i="1" s="1"/>
  <c r="AF14" i="1" s="1"/>
  <c r="AC15" i="1"/>
  <c r="AO15" i="1" s="1"/>
  <c r="AP35" i="1"/>
  <c r="R27" i="26" s="1"/>
  <c r="S27" i="26" s="1"/>
  <c r="AP34" i="1"/>
  <c r="AP5" i="1"/>
  <c r="AC9" i="1"/>
  <c r="AO9" i="1" s="1"/>
  <c r="AC32" i="1"/>
  <c r="AP24" i="1"/>
  <c r="AP8" i="1"/>
  <c r="AQ8" i="1" s="1"/>
  <c r="AR8" i="1" s="1"/>
  <c r="AC12" i="1"/>
  <c r="AO12" i="1" s="1"/>
  <c r="AQ52" i="1"/>
  <c r="AR52" i="1" s="1"/>
  <c r="AC10" i="1"/>
  <c r="AO10" i="1" s="1"/>
  <c r="AP33" i="1"/>
  <c r="AQ33" i="1" s="1"/>
  <c r="AR33" i="1" s="1"/>
  <c r="AP20" i="1"/>
  <c r="AP19" i="1"/>
  <c r="AQ19" i="1" s="1"/>
  <c r="AR19" i="1" s="1"/>
  <c r="AP18" i="1"/>
  <c r="AP26" i="1"/>
  <c r="AQ26" i="1" s="1"/>
  <c r="AP23" i="1"/>
  <c r="AQ23" i="1" s="1"/>
  <c r="AR23" i="1" s="1"/>
  <c r="AP21" i="1"/>
  <c r="AP22" i="1"/>
  <c r="AQ22" i="1" s="1"/>
  <c r="AQ31" i="1"/>
  <c r="AR31" i="1" s="1"/>
  <c r="B9" i="22"/>
  <c r="B6" i="10"/>
  <c r="B9" i="12"/>
  <c r="B11" i="22"/>
  <c r="B11" i="12"/>
  <c r="B14" i="22"/>
  <c r="B4" i="14"/>
  <c r="B15" i="12"/>
  <c r="B12" i="24"/>
  <c r="B12" i="11"/>
  <c r="B7" i="22"/>
  <c r="B8" i="24"/>
  <c r="B4" i="10"/>
  <c r="B8" i="11"/>
  <c r="B7" i="12"/>
  <c r="B4" i="24"/>
  <c r="B4" i="11"/>
  <c r="B15" i="22"/>
  <c r="B16" i="12"/>
  <c r="B7" i="14"/>
  <c r="B5" i="24"/>
  <c r="B5" i="11"/>
  <c r="B3" i="24"/>
  <c r="B8" i="22"/>
  <c r="B3" i="11"/>
  <c r="B3" i="13"/>
  <c r="B8" i="12"/>
  <c r="B3" i="9"/>
  <c r="B3" i="10"/>
  <c r="B4" i="3"/>
  <c r="R8" i="12"/>
  <c r="R5" i="13"/>
  <c r="R9" i="12"/>
  <c r="S8" i="12"/>
  <c r="B133" i="3"/>
  <c r="B107" i="3"/>
  <c r="B75" i="3"/>
  <c r="B159" i="3"/>
  <c r="B149" i="3"/>
  <c r="B131" i="3"/>
  <c r="B105" i="3"/>
  <c r="B73" i="3"/>
  <c r="B41" i="3"/>
  <c r="B9" i="3"/>
  <c r="B174" i="3"/>
  <c r="B166" i="3"/>
  <c r="AB110" i="1" s="1"/>
  <c r="B158" i="3"/>
  <c r="B167" i="3"/>
  <c r="B147" i="3"/>
  <c r="B129" i="3"/>
  <c r="B99" i="3"/>
  <c r="B67" i="3"/>
  <c r="B35" i="3"/>
  <c r="B151" i="3"/>
  <c r="B173" i="3"/>
  <c r="B165" i="3"/>
  <c r="B157" i="3"/>
  <c r="B175" i="3"/>
  <c r="B145" i="3"/>
  <c r="B128" i="3"/>
  <c r="B97" i="3"/>
  <c r="B65" i="3"/>
  <c r="B33" i="3"/>
  <c r="B180" i="3"/>
  <c r="AB109" i="1" s="1"/>
  <c r="B172" i="3"/>
  <c r="B164" i="3"/>
  <c r="B156" i="3"/>
  <c r="B141" i="3"/>
  <c r="B123" i="3"/>
  <c r="B91" i="3"/>
  <c r="B59" i="3"/>
  <c r="B27" i="3"/>
  <c r="B179" i="3"/>
  <c r="B171" i="3"/>
  <c r="B163" i="3"/>
  <c r="B155" i="3"/>
  <c r="B43" i="3"/>
  <c r="B139" i="3"/>
  <c r="B121" i="3"/>
  <c r="B89" i="3"/>
  <c r="B57" i="3"/>
  <c r="B25" i="3"/>
  <c r="B178" i="3"/>
  <c r="B170" i="3"/>
  <c r="B162" i="3"/>
  <c r="B154" i="3"/>
  <c r="B137" i="3"/>
  <c r="B115" i="3"/>
  <c r="B83" i="3"/>
  <c r="B51" i="3"/>
  <c r="B19" i="3"/>
  <c r="B177" i="3"/>
  <c r="B169" i="3"/>
  <c r="B161" i="3"/>
  <c r="B153" i="3"/>
  <c r="B11" i="3"/>
  <c r="B136" i="3"/>
  <c r="B113" i="3"/>
  <c r="B81" i="3"/>
  <c r="B49" i="3"/>
  <c r="B17" i="3"/>
  <c r="B176" i="3"/>
  <c r="AB112" i="1" s="1"/>
  <c r="B168" i="3"/>
  <c r="B160" i="3"/>
  <c r="AB107" i="1" s="1"/>
  <c r="B152" i="3"/>
  <c r="B146" i="3"/>
  <c r="B138" i="3"/>
  <c r="B130" i="3"/>
  <c r="B122" i="3"/>
  <c r="B114" i="3"/>
  <c r="B106" i="3"/>
  <c r="B98" i="3"/>
  <c r="B90" i="3"/>
  <c r="B82" i="3"/>
  <c r="B74" i="3"/>
  <c r="B66" i="3"/>
  <c r="B58" i="3"/>
  <c r="B50" i="3"/>
  <c r="B42" i="3"/>
  <c r="B34" i="3"/>
  <c r="B26" i="3"/>
  <c r="B18" i="3"/>
  <c r="B10" i="3"/>
  <c r="B144" i="3"/>
  <c r="B120" i="3"/>
  <c r="B112" i="3"/>
  <c r="B104" i="3"/>
  <c r="B96" i="3"/>
  <c r="B88" i="3"/>
  <c r="B80" i="3"/>
  <c r="B72" i="3"/>
  <c r="B64" i="3"/>
  <c r="B56" i="3"/>
  <c r="B48" i="3"/>
  <c r="B40" i="3"/>
  <c r="B32" i="3"/>
  <c r="B24" i="3"/>
  <c r="B16" i="3"/>
  <c r="B8" i="3"/>
  <c r="B3" i="3"/>
  <c r="B143" i="3"/>
  <c r="B135" i="3"/>
  <c r="B127" i="3"/>
  <c r="B119" i="3"/>
  <c r="B111" i="3"/>
  <c r="B103" i="3"/>
  <c r="B95" i="3"/>
  <c r="B87" i="3"/>
  <c r="B79" i="3"/>
  <c r="B71" i="3"/>
  <c r="B63" i="3"/>
  <c r="B55" i="3"/>
  <c r="B47" i="3"/>
  <c r="B39" i="3"/>
  <c r="B31" i="3"/>
  <c r="B23" i="3"/>
  <c r="B15" i="3"/>
  <c r="B7" i="3"/>
  <c r="B150" i="3"/>
  <c r="B142" i="3"/>
  <c r="B134" i="3"/>
  <c r="B126" i="3"/>
  <c r="B118" i="3"/>
  <c r="B110" i="3"/>
  <c r="B102" i="3"/>
  <c r="B94" i="3"/>
  <c r="B86" i="3"/>
  <c r="B78" i="3"/>
  <c r="B70" i="3"/>
  <c r="B62" i="3"/>
  <c r="B54" i="3"/>
  <c r="B46" i="3"/>
  <c r="B38" i="3"/>
  <c r="B30" i="3"/>
  <c r="B22" i="3"/>
  <c r="B14" i="3"/>
  <c r="B6" i="3"/>
  <c r="B125" i="3"/>
  <c r="B117" i="3"/>
  <c r="B109" i="3"/>
  <c r="B101" i="3"/>
  <c r="B93" i="3"/>
  <c r="B85" i="3"/>
  <c r="B77" i="3"/>
  <c r="B69" i="3"/>
  <c r="B61" i="3"/>
  <c r="B53" i="3"/>
  <c r="B45" i="3"/>
  <c r="B37" i="3"/>
  <c r="B29" i="3"/>
  <c r="B21" i="3"/>
  <c r="B13" i="3"/>
  <c r="B5" i="3"/>
  <c r="B148" i="3"/>
  <c r="B140" i="3"/>
  <c r="B132" i="3"/>
  <c r="B124" i="3"/>
  <c r="B116" i="3"/>
  <c r="B108" i="3"/>
  <c r="B100" i="3"/>
  <c r="B92" i="3"/>
  <c r="B84" i="3"/>
  <c r="B76" i="3"/>
  <c r="B68" i="3"/>
  <c r="B60" i="3"/>
  <c r="B52" i="3"/>
  <c r="B44" i="3"/>
  <c r="B36" i="3"/>
  <c r="B28" i="3"/>
  <c r="B20" i="3"/>
  <c r="B12" i="3"/>
  <c r="R19" i="26" l="1"/>
  <c r="S19" i="26" s="1"/>
  <c r="T19" i="26" s="1"/>
  <c r="Q13" i="14"/>
  <c r="R13" i="14" s="1"/>
  <c r="S13" i="14" s="1"/>
  <c r="AO32" i="1"/>
  <c r="AP32" i="1"/>
  <c r="AB74" i="1"/>
  <c r="AD74" i="1" s="1"/>
  <c r="AE74" i="1" s="1"/>
  <c r="AF74" i="1" s="1"/>
  <c r="AB75" i="1"/>
  <c r="AD75" i="1" s="1"/>
  <c r="AE75" i="1" s="1"/>
  <c r="AF75" i="1" s="1"/>
  <c r="AB70" i="1"/>
  <c r="AD70" i="1" s="1"/>
  <c r="AE70" i="1" s="1"/>
  <c r="AF70" i="1" s="1"/>
  <c r="AB77" i="1"/>
  <c r="AD77" i="1" s="1"/>
  <c r="AE77" i="1" s="1"/>
  <c r="AF77" i="1" s="1"/>
  <c r="AB78" i="1"/>
  <c r="AD78" i="1" s="1"/>
  <c r="AE78" i="1" s="1"/>
  <c r="AF78" i="1" s="1"/>
  <c r="R17" i="26"/>
  <c r="S17" i="26" s="1"/>
  <c r="T17" i="26" s="1"/>
  <c r="AQ20" i="1"/>
  <c r="Q6" i="22"/>
  <c r="R6" i="22" s="1"/>
  <c r="S6" i="22" s="1"/>
  <c r="Q6" i="12"/>
  <c r="R6" i="12" s="1"/>
  <c r="S6" i="12" s="1"/>
  <c r="R15" i="26"/>
  <c r="S15" i="26" s="1"/>
  <c r="T15" i="26" s="1"/>
  <c r="Q9" i="14"/>
  <c r="R9" i="14" s="1"/>
  <c r="S9" i="14" s="1"/>
  <c r="AQ34" i="1"/>
  <c r="R25" i="26"/>
  <c r="S25" i="26" s="1"/>
  <c r="T25" i="26" s="1"/>
  <c r="Q3" i="23"/>
  <c r="R3" i="23" s="1"/>
  <c r="S3" i="23" s="1"/>
  <c r="AB51" i="1"/>
  <c r="AD51" i="1" s="1"/>
  <c r="AE51" i="1" s="1"/>
  <c r="AF51" i="1" s="1"/>
  <c r="AB72" i="1"/>
  <c r="AD72" i="1" s="1"/>
  <c r="AE72" i="1" s="1"/>
  <c r="AF72" i="1" s="1"/>
  <c r="AQ35" i="1"/>
  <c r="R26" i="26"/>
  <c r="S26" i="26" s="1"/>
  <c r="T26" i="26" s="1"/>
  <c r="AQ24" i="1"/>
  <c r="R18" i="26"/>
  <c r="S18" i="26" s="1"/>
  <c r="T18" i="26" s="1"/>
  <c r="Q6" i="14"/>
  <c r="R6" i="14" s="1"/>
  <c r="S6" i="14" s="1"/>
  <c r="AD15" i="1"/>
  <c r="AE15" i="1" s="1"/>
  <c r="AF15" i="1" s="1"/>
  <c r="AP9" i="1"/>
  <c r="AQ9" i="1" s="1"/>
  <c r="AQ21" i="1"/>
  <c r="AS21" i="1" s="1"/>
  <c r="Q3" i="22"/>
  <c r="R3" i="22" s="1"/>
  <c r="S3" i="22" s="1"/>
  <c r="Q3" i="12"/>
  <c r="R3" i="12" s="1"/>
  <c r="S3" i="12" s="1"/>
  <c r="R16" i="26"/>
  <c r="S16" i="26" s="1"/>
  <c r="T16" i="26" s="1"/>
  <c r="Q3" i="24"/>
  <c r="R3" i="24" s="1"/>
  <c r="S3" i="24" s="1"/>
  <c r="Q3" i="14"/>
  <c r="R3" i="14" s="1"/>
  <c r="S3" i="14" s="1"/>
  <c r="Q3" i="8"/>
  <c r="R3" i="8" s="1"/>
  <c r="S3" i="8" s="1"/>
  <c r="Q3" i="11"/>
  <c r="R3" i="11" s="1"/>
  <c r="S3" i="11" s="1"/>
  <c r="AQ5" i="1"/>
  <c r="R6" i="26"/>
  <c r="S6" i="26" s="1"/>
  <c r="T6" i="26" s="1"/>
  <c r="Q11" i="14"/>
  <c r="R11" i="14" s="1"/>
  <c r="S11" i="14" s="1"/>
  <c r="Q20" i="22"/>
  <c r="R20" i="22" s="1"/>
  <c r="S20" i="22" s="1"/>
  <c r="Q13" i="12"/>
  <c r="R13" i="12" s="1"/>
  <c r="S13" i="12" s="1"/>
  <c r="Q3" i="10"/>
  <c r="R3" i="10" s="1"/>
  <c r="S3" i="10" s="1"/>
  <c r="AP15" i="1"/>
  <c r="AQ15" i="1" s="1"/>
  <c r="AR15" i="1" s="1"/>
  <c r="AB9" i="1"/>
  <c r="AD9" i="1" s="1"/>
  <c r="AB39" i="1"/>
  <c r="AD39" i="1" s="1"/>
  <c r="AE39" i="1" s="1"/>
  <c r="AF39" i="1" s="1"/>
  <c r="AP12" i="1"/>
  <c r="AS8" i="1"/>
  <c r="AT8" i="1" s="1"/>
  <c r="AP10" i="1"/>
  <c r="AQ10" i="1" s="1"/>
  <c r="AR10" i="1" s="1"/>
  <c r="AS52" i="1"/>
  <c r="AT52" i="1" s="1"/>
  <c r="C7" i="17"/>
  <c r="D7" i="17" s="1"/>
  <c r="E7" i="17" s="1"/>
  <c r="AD107" i="1"/>
  <c r="AE107" i="1" s="1"/>
  <c r="AF107" i="1" s="1"/>
  <c r="C8" i="17"/>
  <c r="D8" i="17" s="1"/>
  <c r="E8" i="17" s="1"/>
  <c r="AD109" i="1"/>
  <c r="AE109" i="1" s="1"/>
  <c r="AF109" i="1" s="1"/>
  <c r="C9" i="17"/>
  <c r="D9" i="17" s="1"/>
  <c r="E9" i="17" s="1"/>
  <c r="AD112" i="1"/>
  <c r="AE112" i="1" s="1"/>
  <c r="AF112" i="1" s="1"/>
  <c r="C10" i="17"/>
  <c r="D10" i="17" s="1"/>
  <c r="E10" i="17" s="1"/>
  <c r="AD110" i="1"/>
  <c r="AE110" i="1" s="1"/>
  <c r="AF110" i="1" s="1"/>
  <c r="AS31" i="1"/>
  <c r="AT31" i="1" s="1"/>
  <c r="AS19" i="1"/>
  <c r="AT19" i="1" s="1"/>
  <c r="AR22" i="1"/>
  <c r="AR26" i="1"/>
  <c r="C10" i="18"/>
  <c r="D10" i="18" s="1"/>
  <c r="E10" i="18" s="1"/>
  <c r="AB93" i="1"/>
  <c r="AB92" i="1"/>
  <c r="AB114" i="1"/>
  <c r="AB90" i="1"/>
  <c r="AD90" i="1" s="1"/>
  <c r="AB117" i="1"/>
  <c r="AB118" i="1"/>
  <c r="AB116" i="1"/>
  <c r="AB120" i="1"/>
  <c r="AB113" i="1"/>
  <c r="AB119" i="1"/>
  <c r="AB91" i="1"/>
  <c r="AB115" i="1"/>
  <c r="AB94" i="1"/>
  <c r="AD94" i="1" s="1"/>
  <c r="AB88" i="1"/>
  <c r="AB89" i="1"/>
  <c r="AB97" i="1"/>
  <c r="AB100" i="1"/>
  <c r="AB98" i="1"/>
  <c r="AD98" i="1" s="1"/>
  <c r="AB99" i="1"/>
  <c r="AB104" i="1"/>
  <c r="AB105" i="1"/>
  <c r="AB96" i="1"/>
  <c r="AB95" i="1"/>
  <c r="AD95" i="1" s="1"/>
  <c r="AB102" i="1"/>
  <c r="AB101" i="1"/>
  <c r="AB103" i="1"/>
  <c r="AB106" i="1"/>
  <c r="AB123" i="1"/>
  <c r="AB122" i="1"/>
  <c r="AB121" i="1"/>
  <c r="AD121" i="1" s="1"/>
  <c r="C23" i="22"/>
  <c r="D23" i="22" s="1"/>
  <c r="E23" i="22" s="1"/>
  <c r="C23" i="12"/>
  <c r="D23" i="12" s="1"/>
  <c r="E23" i="12" s="1"/>
  <c r="AB131" i="1"/>
  <c r="AD131" i="1" s="1"/>
  <c r="AB127" i="1"/>
  <c r="AB125" i="1"/>
  <c r="AB128" i="1"/>
  <c r="AD128" i="1" s="1"/>
  <c r="AB126" i="1"/>
  <c r="AD126" i="1" s="1"/>
  <c r="AB129" i="1"/>
  <c r="AD129" i="1" s="1"/>
  <c r="AB130" i="1"/>
  <c r="AD130" i="1" s="1"/>
  <c r="AB124" i="1"/>
  <c r="AD124" i="1" s="1"/>
  <c r="AB108" i="1"/>
  <c r="AD108" i="1" s="1"/>
  <c r="AB111" i="1"/>
  <c r="AS22" i="1"/>
  <c r="AT22" i="1" s="1"/>
  <c r="AS26" i="1"/>
  <c r="AT26" i="1" s="1"/>
  <c r="AS33" i="1"/>
  <c r="AT33" i="1" s="1"/>
  <c r="AS23" i="1"/>
  <c r="AT23" i="1" s="1"/>
  <c r="AB81" i="1"/>
  <c r="AB87" i="1"/>
  <c r="AD87" i="1" s="1"/>
  <c r="AB59" i="1"/>
  <c r="AB29" i="1"/>
  <c r="AD29" i="1" s="1"/>
  <c r="AB47" i="1"/>
  <c r="AB40" i="1"/>
  <c r="AD40" i="1" s="1"/>
  <c r="AB55" i="1"/>
  <c r="AD55" i="1" s="1"/>
  <c r="AB68" i="1"/>
  <c r="AB27" i="1"/>
  <c r="AD27" i="1" s="1"/>
  <c r="AB82" i="1"/>
  <c r="AB132" i="1"/>
  <c r="AB62" i="1"/>
  <c r="AB67" i="1"/>
  <c r="AB5" i="1"/>
  <c r="AD5" i="1" s="1"/>
  <c r="D6" i="26" s="1"/>
  <c r="AB42" i="1"/>
  <c r="AB50" i="1"/>
  <c r="AB10" i="1"/>
  <c r="AB63" i="1"/>
  <c r="AB43" i="1"/>
  <c r="AB58" i="1"/>
  <c r="AB57" i="1"/>
  <c r="AD57" i="1" s="1"/>
  <c r="AB2" i="1"/>
  <c r="AB35" i="1"/>
  <c r="AD35" i="1" s="1"/>
  <c r="AB30" i="1"/>
  <c r="AB45" i="1"/>
  <c r="AB53" i="1"/>
  <c r="AB36" i="1"/>
  <c r="AD36" i="1" s="1"/>
  <c r="D27" i="26" s="1"/>
  <c r="AB48" i="1"/>
  <c r="AB84" i="1"/>
  <c r="AB37" i="1"/>
  <c r="AB54" i="1"/>
  <c r="AD54" i="1" s="1"/>
  <c r="AB83" i="1"/>
  <c r="AB60" i="1"/>
  <c r="AB65" i="1"/>
  <c r="AB6" i="1"/>
  <c r="AD6" i="1" s="1"/>
  <c r="D7" i="26" s="1"/>
  <c r="AB28" i="1"/>
  <c r="AD28" i="1" s="1"/>
  <c r="AB46" i="1"/>
  <c r="AB8" i="1"/>
  <c r="AB85" i="1"/>
  <c r="AB61" i="1"/>
  <c r="AB66" i="1"/>
  <c r="AB4" i="1"/>
  <c r="AB11" i="1"/>
  <c r="AD11" i="1" s="1"/>
  <c r="D12" i="26" s="1"/>
  <c r="AB13" i="1"/>
  <c r="AB41" i="1"/>
  <c r="AD41" i="1" s="1"/>
  <c r="AB49" i="1"/>
  <c r="AB69" i="1"/>
  <c r="AD69" i="1" s="1"/>
  <c r="AB86" i="1"/>
  <c r="AB56" i="1"/>
  <c r="AD56" i="1" s="1"/>
  <c r="AB34" i="1"/>
  <c r="AD34" i="1" s="1"/>
  <c r="AB52" i="1"/>
  <c r="AD52" i="1" s="1"/>
  <c r="AB38" i="1"/>
  <c r="AB64" i="1"/>
  <c r="AB44" i="1"/>
  <c r="AB3" i="1"/>
  <c r="AD3" i="1" s="1"/>
  <c r="D4" i="26" s="1"/>
  <c r="AB22" i="1"/>
  <c r="AD22" i="1" s="1"/>
  <c r="AB33" i="1"/>
  <c r="AB23" i="1"/>
  <c r="AD23" i="1" s="1"/>
  <c r="AB24" i="1"/>
  <c r="AB25" i="1"/>
  <c r="AD25" i="1" s="1"/>
  <c r="AB26" i="1"/>
  <c r="AB31" i="1"/>
  <c r="AD31" i="1" s="1"/>
  <c r="AB12" i="1"/>
  <c r="AB32" i="1"/>
  <c r="AD32" i="1" s="1"/>
  <c r="AB73" i="1"/>
  <c r="AD73" i="1" s="1"/>
  <c r="AB76" i="1"/>
  <c r="AD76" i="1" s="1"/>
  <c r="D41" i="26" s="1"/>
  <c r="E41" i="26" s="1"/>
  <c r="F41" i="26" s="1"/>
  <c r="AB18" i="1"/>
  <c r="AD18" i="1" s="1"/>
  <c r="AB21" i="1"/>
  <c r="AD21" i="1" s="1"/>
  <c r="AB71" i="1"/>
  <c r="AB79" i="1"/>
  <c r="AB80" i="1"/>
  <c r="AB7" i="1"/>
  <c r="R3" i="13"/>
  <c r="S3" i="13" s="1"/>
  <c r="AQ18" i="1"/>
  <c r="AB19" i="1"/>
  <c r="AD19" i="1" s="1"/>
  <c r="AB20" i="1"/>
  <c r="AD20" i="1" s="1"/>
  <c r="AR25" i="1" l="1"/>
  <c r="AS25" i="1"/>
  <c r="AT25" i="1" s="1"/>
  <c r="AQ32" i="1"/>
  <c r="Q14" i="11"/>
  <c r="R14" i="11" s="1"/>
  <c r="S14" i="11" s="1"/>
  <c r="Q5" i="23"/>
  <c r="R5" i="23" s="1"/>
  <c r="S5" i="23" s="1"/>
  <c r="Q3" i="25"/>
  <c r="R3" i="25" s="1"/>
  <c r="S3" i="25" s="1"/>
  <c r="Q4" i="9"/>
  <c r="R4" i="9" s="1"/>
  <c r="S4" i="9" s="1"/>
  <c r="Q5" i="8"/>
  <c r="R5" i="8" s="1"/>
  <c r="S5" i="8" s="1"/>
  <c r="R23" i="26"/>
  <c r="S23" i="26" s="1"/>
  <c r="T23" i="26" s="1"/>
  <c r="D15" i="26"/>
  <c r="E15" i="26" s="1"/>
  <c r="F15" i="26" s="1"/>
  <c r="D23" i="26"/>
  <c r="E23" i="26" s="1"/>
  <c r="F23" i="26" s="1"/>
  <c r="AS20" i="1"/>
  <c r="AT20" i="1" s="1"/>
  <c r="AR20" i="1"/>
  <c r="AR34" i="1"/>
  <c r="AS34" i="1"/>
  <c r="AT34" i="1" s="1"/>
  <c r="AR35" i="1"/>
  <c r="AS35" i="1"/>
  <c r="AT35" i="1" s="1"/>
  <c r="E27" i="26"/>
  <c r="F27" i="26" s="1"/>
  <c r="AR24" i="1"/>
  <c r="AS24" i="1"/>
  <c r="D26" i="26"/>
  <c r="D16" i="26"/>
  <c r="AS9" i="1"/>
  <c r="AT9" i="1" s="1"/>
  <c r="AR9" i="1"/>
  <c r="AR21" i="1"/>
  <c r="AS5" i="1"/>
  <c r="K5" i="42" s="1"/>
  <c r="AR5" i="1"/>
  <c r="AS15" i="1"/>
  <c r="AT15" i="1" s="1"/>
  <c r="AQ12" i="1"/>
  <c r="AR12" i="1" s="1"/>
  <c r="Q4" i="13"/>
  <c r="R4" i="13" s="1"/>
  <c r="S4" i="13" s="1"/>
  <c r="Q8" i="24"/>
  <c r="R8" i="24" s="1"/>
  <c r="S8" i="24" s="1"/>
  <c r="Q7" i="22"/>
  <c r="R7" i="22" s="1"/>
  <c r="S7" i="22" s="1"/>
  <c r="R13" i="26"/>
  <c r="S13" i="26" s="1"/>
  <c r="T13" i="26" s="1"/>
  <c r="Q8" i="11"/>
  <c r="R8" i="11" s="1"/>
  <c r="S8" i="11" s="1"/>
  <c r="Q4" i="10"/>
  <c r="R4" i="10" s="1"/>
  <c r="S4" i="10" s="1"/>
  <c r="Q7" i="12"/>
  <c r="R7" i="12" s="1"/>
  <c r="S7" i="12" s="1"/>
  <c r="Q4" i="8"/>
  <c r="R4" i="8" s="1"/>
  <c r="S4" i="8" s="1"/>
  <c r="Q3" i="9"/>
  <c r="R3" i="9" s="1"/>
  <c r="S3" i="9" s="1"/>
  <c r="AS10" i="1"/>
  <c r="AT10" i="1" s="1"/>
  <c r="E6" i="26"/>
  <c r="F6" i="26" s="1"/>
  <c r="D14" i="26"/>
  <c r="E12" i="26"/>
  <c r="F12" i="26" s="1"/>
  <c r="E7" i="26"/>
  <c r="F7" i="26" s="1"/>
  <c r="AE9" i="1"/>
  <c r="AF9" i="1" s="1"/>
  <c r="D10" i="26"/>
  <c r="D17" i="26"/>
  <c r="E4" i="26"/>
  <c r="F4" i="26" s="1"/>
  <c r="C4" i="22"/>
  <c r="D4" i="22" s="1"/>
  <c r="E4" i="22" s="1"/>
  <c r="C4" i="12"/>
  <c r="D4" i="12" s="1"/>
  <c r="E4" i="12" s="1"/>
  <c r="C6" i="22"/>
  <c r="D6" i="22" s="1"/>
  <c r="E6" i="22" s="1"/>
  <c r="C6" i="12"/>
  <c r="D6" i="12" s="1"/>
  <c r="E6" i="12" s="1"/>
  <c r="C5" i="23"/>
  <c r="D5" i="23" s="1"/>
  <c r="E5" i="23" s="1"/>
  <c r="AD79" i="1"/>
  <c r="AD12" i="1"/>
  <c r="AD71" i="1"/>
  <c r="D40" i="26" s="1"/>
  <c r="E40" i="26" s="1"/>
  <c r="F40" i="26" s="1"/>
  <c r="AD44" i="1"/>
  <c r="AD85" i="1"/>
  <c r="AE85" i="1" s="1"/>
  <c r="AF85" i="1" s="1"/>
  <c r="AD42" i="1"/>
  <c r="AD115" i="1"/>
  <c r="AE115" i="1" s="1"/>
  <c r="AD26" i="1"/>
  <c r="AD49" i="1"/>
  <c r="AD8" i="1"/>
  <c r="AD37" i="1"/>
  <c r="AD2" i="1"/>
  <c r="C8" i="8"/>
  <c r="D8" i="8" s="1"/>
  <c r="E8" i="8" s="1"/>
  <c r="AD127" i="1"/>
  <c r="AE127" i="1" s="1"/>
  <c r="AF127" i="1" s="1"/>
  <c r="AD103" i="1"/>
  <c r="AE103" i="1" s="1"/>
  <c r="AF103" i="1" s="1"/>
  <c r="AD91" i="1"/>
  <c r="AE91" i="1" s="1"/>
  <c r="AF91" i="1" s="1"/>
  <c r="AD114" i="1"/>
  <c r="AE114" i="1" s="1"/>
  <c r="AF114" i="1" s="1"/>
  <c r="AD64" i="1"/>
  <c r="AE64" i="1" s="1"/>
  <c r="AF64" i="1" s="1"/>
  <c r="AD38" i="1"/>
  <c r="AD46" i="1"/>
  <c r="AE46" i="1" s="1"/>
  <c r="AF46" i="1" s="1"/>
  <c r="AD84" i="1"/>
  <c r="AE84" i="1" s="1"/>
  <c r="AF84" i="1" s="1"/>
  <c r="AD67" i="1"/>
  <c r="AD47" i="1"/>
  <c r="AE47" i="1" s="1"/>
  <c r="AF47" i="1" s="1"/>
  <c r="AD101" i="1"/>
  <c r="AE101" i="1" s="1"/>
  <c r="AF101" i="1" s="1"/>
  <c r="AD100" i="1"/>
  <c r="AE100" i="1" s="1"/>
  <c r="AD119" i="1"/>
  <c r="AE119" i="1" s="1"/>
  <c r="AF119" i="1" s="1"/>
  <c r="AD92" i="1"/>
  <c r="AE92" i="1" s="1"/>
  <c r="AF92" i="1" s="1"/>
  <c r="AD125" i="1"/>
  <c r="AE125" i="1" s="1"/>
  <c r="AF125" i="1" s="1"/>
  <c r="AD106" i="1"/>
  <c r="AE106" i="1" s="1"/>
  <c r="AF106" i="1" s="1"/>
  <c r="AD99" i="1"/>
  <c r="AE99" i="1" s="1"/>
  <c r="AF99" i="1" s="1"/>
  <c r="AD24" i="1"/>
  <c r="D19" i="26" s="1"/>
  <c r="AD13" i="1"/>
  <c r="AE13" i="1" s="1"/>
  <c r="AF13" i="1" s="1"/>
  <c r="AD48" i="1"/>
  <c r="AE48" i="1" s="1"/>
  <c r="AF48" i="1" s="1"/>
  <c r="AD62" i="1"/>
  <c r="AE62" i="1" s="1"/>
  <c r="AF62" i="1" s="1"/>
  <c r="AD102" i="1"/>
  <c r="AE102" i="1" s="1"/>
  <c r="AF102" i="1" s="1"/>
  <c r="AD97" i="1"/>
  <c r="AE97" i="1" s="1"/>
  <c r="AF97" i="1" s="1"/>
  <c r="AD113" i="1"/>
  <c r="AE113" i="1" s="1"/>
  <c r="AF113" i="1" s="1"/>
  <c r="AD93" i="1"/>
  <c r="AE93" i="1" s="1"/>
  <c r="AF93" i="1" s="1"/>
  <c r="AD43" i="1"/>
  <c r="AE43" i="1" s="1"/>
  <c r="AF43" i="1" s="1"/>
  <c r="AD132" i="1"/>
  <c r="AE132" i="1" s="1"/>
  <c r="AF132" i="1" s="1"/>
  <c r="AD89" i="1"/>
  <c r="AE89" i="1" s="1"/>
  <c r="AF89" i="1" s="1"/>
  <c r="AD120" i="1"/>
  <c r="AE120" i="1" s="1"/>
  <c r="AF120" i="1" s="1"/>
  <c r="AD7" i="1"/>
  <c r="AD33" i="1"/>
  <c r="D25" i="26" s="1"/>
  <c r="AD4" i="1"/>
  <c r="AD65" i="1"/>
  <c r="AD53" i="1"/>
  <c r="AE53" i="1" s="1"/>
  <c r="AF53" i="1" s="1"/>
  <c r="AD63" i="1"/>
  <c r="AE63" i="1" s="1"/>
  <c r="AF63" i="1" s="1"/>
  <c r="AD82" i="1"/>
  <c r="AD59" i="1"/>
  <c r="AE59" i="1" s="1"/>
  <c r="AF59" i="1" s="1"/>
  <c r="AD96" i="1"/>
  <c r="AE96" i="1" s="1"/>
  <c r="AF96" i="1" s="1"/>
  <c r="AD88" i="1"/>
  <c r="AE88" i="1" s="1"/>
  <c r="AF88" i="1" s="1"/>
  <c r="AD116" i="1"/>
  <c r="AE116" i="1" s="1"/>
  <c r="AF116" i="1" s="1"/>
  <c r="AD58" i="1"/>
  <c r="AE58" i="1" s="1"/>
  <c r="AF58" i="1" s="1"/>
  <c r="AD80" i="1"/>
  <c r="AD66" i="1"/>
  <c r="AD60" i="1"/>
  <c r="AD45" i="1"/>
  <c r="AE45" i="1" s="1"/>
  <c r="AF45" i="1" s="1"/>
  <c r="AD10" i="1"/>
  <c r="AD122" i="1"/>
  <c r="AE122" i="1" s="1"/>
  <c r="AD105" i="1"/>
  <c r="AE105" i="1" s="1"/>
  <c r="AF105" i="1" s="1"/>
  <c r="AD118" i="1"/>
  <c r="AE118" i="1" s="1"/>
  <c r="AF118" i="1" s="1"/>
  <c r="AD86" i="1"/>
  <c r="AD61" i="1"/>
  <c r="D36" i="26" s="1"/>
  <c r="AD83" i="1"/>
  <c r="AE83" i="1" s="1"/>
  <c r="AF83" i="1" s="1"/>
  <c r="AD30" i="1"/>
  <c r="AD50" i="1"/>
  <c r="AD68" i="1"/>
  <c r="AE68" i="1" s="1"/>
  <c r="AF68" i="1" s="1"/>
  <c r="AD81" i="1"/>
  <c r="AD111" i="1"/>
  <c r="AE111" i="1" s="1"/>
  <c r="AD123" i="1"/>
  <c r="AE123" i="1" s="1"/>
  <c r="AD104" i="1"/>
  <c r="AE104" i="1" s="1"/>
  <c r="AF104" i="1" s="1"/>
  <c r="AD117" i="1"/>
  <c r="AE117" i="1" s="1"/>
  <c r="AF117" i="1" s="1"/>
  <c r="C6" i="9"/>
  <c r="D6" i="9" s="1"/>
  <c r="C6" i="8"/>
  <c r="D6" i="8" s="1"/>
  <c r="E6" i="8" s="1"/>
  <c r="AE126" i="1"/>
  <c r="AF126" i="1" s="1"/>
  <c r="C7" i="8"/>
  <c r="D7" i="8" s="1"/>
  <c r="E7" i="8" s="1"/>
  <c r="AE54" i="1"/>
  <c r="AF54" i="1" s="1"/>
  <c r="C6" i="17"/>
  <c r="D6" i="17" s="1"/>
  <c r="E6" i="17" s="1"/>
  <c r="C4" i="17"/>
  <c r="D4" i="17" s="1"/>
  <c r="E4" i="17" s="1"/>
  <c r="C5" i="17"/>
  <c r="D5" i="17" s="1"/>
  <c r="C6" i="10"/>
  <c r="D6" i="10" s="1"/>
  <c r="E6" i="10" s="1"/>
  <c r="AR18" i="1"/>
  <c r="AE73" i="1"/>
  <c r="AF73" i="1" s="1"/>
  <c r="C7" i="10"/>
  <c r="D7" i="10" s="1"/>
  <c r="E7" i="10" s="1"/>
  <c r="C8" i="18"/>
  <c r="D8" i="18" s="1"/>
  <c r="E8" i="18" s="1"/>
  <c r="C21" i="22"/>
  <c r="D21" i="22" s="1"/>
  <c r="E21" i="22" s="1"/>
  <c r="C21" i="12"/>
  <c r="D21" i="12" s="1"/>
  <c r="E21" i="12" s="1"/>
  <c r="AE31" i="1"/>
  <c r="AF31" i="1" s="1"/>
  <c r="C11" i="22"/>
  <c r="D11" i="22" s="1"/>
  <c r="E11" i="22" s="1"/>
  <c r="C11" i="12"/>
  <c r="D11" i="12" s="1"/>
  <c r="E11" i="12" s="1"/>
  <c r="AE131" i="1"/>
  <c r="AF131" i="1" s="1"/>
  <c r="C10" i="13"/>
  <c r="D10" i="13" s="1"/>
  <c r="AE18" i="1"/>
  <c r="AF18" i="1" s="1"/>
  <c r="C13" i="22"/>
  <c r="D13" i="22" s="1"/>
  <c r="E13" i="22" s="1"/>
  <c r="C14" i="12"/>
  <c r="D14" i="12" s="1"/>
  <c r="E14" i="12" s="1"/>
  <c r="AE124" i="1"/>
  <c r="AF124" i="1" s="1"/>
  <c r="C7" i="18"/>
  <c r="D7" i="18" s="1"/>
  <c r="E7" i="18" s="1"/>
  <c r="C14" i="22"/>
  <c r="D14" i="22" s="1"/>
  <c r="E14" i="22" s="1"/>
  <c r="C4" i="14"/>
  <c r="D4" i="14" s="1"/>
  <c r="E4" i="14" s="1"/>
  <c r="C15" i="12"/>
  <c r="D15" i="12" s="1"/>
  <c r="E15" i="12" s="1"/>
  <c r="C15" i="22"/>
  <c r="D15" i="22" s="1"/>
  <c r="E15" i="22" s="1"/>
  <c r="C7" i="14"/>
  <c r="D7" i="14" s="1"/>
  <c r="E7" i="14" s="1"/>
  <c r="C16" i="12"/>
  <c r="D16" i="12" s="1"/>
  <c r="E16" i="12" s="1"/>
  <c r="C12" i="22"/>
  <c r="D12" i="22" s="1"/>
  <c r="E12" i="22" s="1"/>
  <c r="C12" i="12"/>
  <c r="D12" i="12" s="1"/>
  <c r="E12" i="12" s="1"/>
  <c r="C7" i="13"/>
  <c r="D7" i="13" s="1"/>
  <c r="C5" i="24"/>
  <c r="D5" i="24" s="1"/>
  <c r="E5" i="24" s="1"/>
  <c r="C5" i="11"/>
  <c r="D5" i="11" s="1"/>
  <c r="E5" i="11" s="1"/>
  <c r="AE108" i="1"/>
  <c r="AF108" i="1" s="1"/>
  <c r="C9" i="13"/>
  <c r="D9" i="13" s="1"/>
  <c r="AE130" i="1"/>
  <c r="AF130" i="1" s="1"/>
  <c r="AE95" i="1"/>
  <c r="AF95" i="1" s="1"/>
  <c r="C3" i="18"/>
  <c r="D3" i="18" s="1"/>
  <c r="E3" i="18" s="1"/>
  <c r="C3" i="17"/>
  <c r="D3" i="17" s="1"/>
  <c r="E3" i="17" s="1"/>
  <c r="C9" i="18"/>
  <c r="D9" i="18" s="1"/>
  <c r="E9" i="18" s="1"/>
  <c r="C10" i="22"/>
  <c r="D10" i="22" s="1"/>
  <c r="E10" i="22" s="1"/>
  <c r="C12" i="14"/>
  <c r="D12" i="14" s="1"/>
  <c r="E12" i="14" s="1"/>
  <c r="C10" i="12"/>
  <c r="D10" i="12" s="1"/>
  <c r="E10" i="12" s="1"/>
  <c r="AE87" i="1"/>
  <c r="AF87" i="1" s="1"/>
  <c r="C19" i="22"/>
  <c r="D19" i="22" s="1"/>
  <c r="E19" i="22" s="1"/>
  <c r="C20" i="12"/>
  <c r="D20" i="12" s="1"/>
  <c r="E20" i="12" s="1"/>
  <c r="C17" i="22"/>
  <c r="D17" i="22" s="1"/>
  <c r="E17" i="22" s="1"/>
  <c r="C18" i="12"/>
  <c r="D18" i="12" s="1"/>
  <c r="E18" i="12" s="1"/>
  <c r="C8" i="14"/>
  <c r="D8" i="14" s="1"/>
  <c r="E8" i="14" s="1"/>
  <c r="AE129" i="1"/>
  <c r="AE121" i="1"/>
  <c r="C16" i="22"/>
  <c r="D16" i="22" s="1"/>
  <c r="E16" i="22" s="1"/>
  <c r="C5" i="14"/>
  <c r="D5" i="14" s="1"/>
  <c r="E5" i="14" s="1"/>
  <c r="C17" i="12"/>
  <c r="D17" i="12" s="1"/>
  <c r="E17" i="12" s="1"/>
  <c r="AE55" i="1"/>
  <c r="AF55" i="1" s="1"/>
  <c r="C6" i="24"/>
  <c r="D6" i="24" s="1"/>
  <c r="E6" i="24" s="1"/>
  <c r="C6" i="11"/>
  <c r="D6" i="11" s="1"/>
  <c r="E6" i="11" s="1"/>
  <c r="AE23" i="1"/>
  <c r="AF23" i="1" s="1"/>
  <c r="C4" i="24"/>
  <c r="D4" i="24" s="1"/>
  <c r="E4" i="24" s="1"/>
  <c r="C4" i="11"/>
  <c r="D4" i="11" s="1"/>
  <c r="E4" i="11" s="1"/>
  <c r="C10" i="24"/>
  <c r="D10" i="24" s="1"/>
  <c r="E10" i="24" s="1"/>
  <c r="C10" i="11"/>
  <c r="D10" i="11" s="1"/>
  <c r="E10" i="11" s="1"/>
  <c r="C7" i="24"/>
  <c r="D7" i="24" s="1"/>
  <c r="E7" i="24" s="1"/>
  <c r="C4" i="18"/>
  <c r="D4" i="18" s="1"/>
  <c r="E4" i="18" s="1"/>
  <c r="AE94" i="1"/>
  <c r="AF94" i="1" s="1"/>
  <c r="C5" i="18"/>
  <c r="D5" i="18" s="1"/>
  <c r="E5" i="18" s="1"/>
  <c r="AE98" i="1"/>
  <c r="AF98" i="1" s="1"/>
  <c r="C9" i="24"/>
  <c r="D9" i="24" s="1"/>
  <c r="E9" i="24" s="1"/>
  <c r="C9" i="11"/>
  <c r="D9" i="11" s="1"/>
  <c r="E9" i="11" s="1"/>
  <c r="C6" i="13"/>
  <c r="D6" i="13" s="1"/>
  <c r="C18" i="22"/>
  <c r="D18" i="22" s="1"/>
  <c r="E18" i="22" s="1"/>
  <c r="C19" i="12"/>
  <c r="D19" i="12" s="1"/>
  <c r="E19" i="12" s="1"/>
  <c r="C22" i="22"/>
  <c r="D22" i="22" s="1"/>
  <c r="E22" i="22" s="1"/>
  <c r="C22" i="12"/>
  <c r="D22" i="12" s="1"/>
  <c r="E22" i="12" s="1"/>
  <c r="AE128" i="1"/>
  <c r="AF128" i="1" s="1"/>
  <c r="C8" i="13"/>
  <c r="D8" i="13" s="1"/>
  <c r="AE32" i="1"/>
  <c r="AF32" i="1" s="1"/>
  <c r="C9" i="22"/>
  <c r="D9" i="22" s="1"/>
  <c r="E9" i="22" s="1"/>
  <c r="C5" i="10"/>
  <c r="D5" i="10" s="1"/>
  <c r="E5" i="10" s="1"/>
  <c r="C9" i="12"/>
  <c r="D9" i="12" s="1"/>
  <c r="E9" i="12" s="1"/>
  <c r="AE90" i="1"/>
  <c r="AF90" i="1" s="1"/>
  <c r="C6" i="18"/>
  <c r="D6" i="18" s="1"/>
  <c r="E6" i="18" s="1"/>
  <c r="AE22" i="1"/>
  <c r="AF22" i="1" s="1"/>
  <c r="AE25" i="1"/>
  <c r="AF25" i="1" s="1"/>
  <c r="AE21" i="1"/>
  <c r="AF21" i="1" s="1"/>
  <c r="AE3" i="1"/>
  <c r="AF3" i="1" s="1"/>
  <c r="AE76" i="1"/>
  <c r="AF76" i="1" s="1"/>
  <c r="AE69" i="1"/>
  <c r="AF69" i="1" s="1"/>
  <c r="AE35" i="1"/>
  <c r="AF35" i="1" s="1"/>
  <c r="AE29" i="1"/>
  <c r="AF29" i="1" s="1"/>
  <c r="AE41" i="1"/>
  <c r="AF41" i="1" s="1"/>
  <c r="AE27" i="1"/>
  <c r="AF27" i="1" s="1"/>
  <c r="AE56" i="1"/>
  <c r="AF56" i="1" s="1"/>
  <c r="AE52" i="1"/>
  <c r="AF52" i="1" s="1"/>
  <c r="AE28" i="1"/>
  <c r="AF28" i="1" s="1"/>
  <c r="AE11" i="1"/>
  <c r="AF11" i="1" s="1"/>
  <c r="AE6" i="1"/>
  <c r="AF6" i="1" s="1"/>
  <c r="AE57" i="1"/>
  <c r="AF57" i="1" s="1"/>
  <c r="AE34" i="1"/>
  <c r="AF34" i="1" s="1"/>
  <c r="AE36" i="1"/>
  <c r="AF36" i="1" s="1"/>
  <c r="AE5" i="1"/>
  <c r="AF5" i="1" s="1"/>
  <c r="AE40" i="1"/>
  <c r="AF40" i="1" s="1"/>
  <c r="AS18" i="1"/>
  <c r="AT18" i="1" s="1"/>
  <c r="AE20" i="1"/>
  <c r="AF20" i="1" s="1"/>
  <c r="AE19" i="1"/>
  <c r="AF19" i="1" s="1"/>
  <c r="AE86" i="1" l="1"/>
  <c r="AF86" i="1" s="1"/>
  <c r="D46" i="26"/>
  <c r="E46" i="26" s="1"/>
  <c r="F46" i="26" s="1"/>
  <c r="AS32" i="1"/>
  <c r="AT32" i="1" s="1"/>
  <c r="AR32" i="1"/>
  <c r="C5" i="22"/>
  <c r="D5" i="22" s="1"/>
  <c r="E5" i="22" s="1"/>
  <c r="C5" i="12"/>
  <c r="D5" i="12" s="1"/>
  <c r="E5" i="12" s="1"/>
  <c r="AE79" i="1"/>
  <c r="AF79" i="1" s="1"/>
  <c r="D42" i="26"/>
  <c r="AE82" i="1"/>
  <c r="AF82" i="1" s="1"/>
  <c r="D45" i="26"/>
  <c r="AE80" i="1"/>
  <c r="AF80" i="1" s="1"/>
  <c r="D43" i="26"/>
  <c r="AE81" i="1"/>
  <c r="AF81" i="1" s="1"/>
  <c r="D44" i="26"/>
  <c r="AE71" i="1"/>
  <c r="AF71" i="1" s="1"/>
  <c r="D39" i="26"/>
  <c r="AE66" i="1"/>
  <c r="AF66" i="1" s="1"/>
  <c r="D38" i="26"/>
  <c r="AE65" i="1"/>
  <c r="AF65" i="1" s="1"/>
  <c r="D37" i="26"/>
  <c r="D30" i="26"/>
  <c r="AE67" i="1"/>
  <c r="AF67" i="1" s="1"/>
  <c r="C5" i="9"/>
  <c r="D5" i="9" s="1"/>
  <c r="E5" i="9" s="1"/>
  <c r="C10" i="14"/>
  <c r="D10" i="14" s="1"/>
  <c r="E10" i="14" s="1"/>
  <c r="C7" i="11"/>
  <c r="D7" i="11" s="1"/>
  <c r="E7" i="11" s="1"/>
  <c r="AT24" i="1"/>
  <c r="AT21" i="1"/>
  <c r="AT5" i="1"/>
  <c r="K4" i="42"/>
  <c r="E26" i="26"/>
  <c r="F26" i="26" s="1"/>
  <c r="E16" i="26"/>
  <c r="F16" i="26" s="1"/>
  <c r="E25" i="26"/>
  <c r="F25" i="26" s="1"/>
  <c r="E36" i="26"/>
  <c r="F36" i="26" s="1"/>
  <c r="AE61" i="1"/>
  <c r="AF61" i="1" s="1"/>
  <c r="C5" i="13"/>
  <c r="D5" i="13" s="1"/>
  <c r="E5" i="13" s="1"/>
  <c r="AE60" i="1"/>
  <c r="AF60" i="1" s="1"/>
  <c r="D35" i="26"/>
  <c r="AE30" i="1"/>
  <c r="AF30" i="1" s="1"/>
  <c r="D22" i="26"/>
  <c r="C12" i="25"/>
  <c r="D12" i="25" s="1"/>
  <c r="E12" i="25" s="1"/>
  <c r="C4" i="23"/>
  <c r="D4" i="23" s="1"/>
  <c r="E4" i="23" s="1"/>
  <c r="AE50" i="1"/>
  <c r="AF50" i="1" s="1"/>
  <c r="D34" i="26"/>
  <c r="AE49" i="1"/>
  <c r="AF49" i="1" s="1"/>
  <c r="D33" i="26"/>
  <c r="C14" i="24"/>
  <c r="D14" i="24" s="1"/>
  <c r="E14" i="24" s="1"/>
  <c r="C13" i="14"/>
  <c r="D13" i="14" s="1"/>
  <c r="E13" i="14" s="1"/>
  <c r="AE44" i="1"/>
  <c r="AF44" i="1" s="1"/>
  <c r="D32" i="26"/>
  <c r="AE42" i="1"/>
  <c r="AF42" i="1" s="1"/>
  <c r="D31" i="26"/>
  <c r="AE38" i="1"/>
  <c r="AF38" i="1" s="1"/>
  <c r="D29" i="26"/>
  <c r="C9" i="14"/>
  <c r="D9" i="14" s="1"/>
  <c r="E9" i="14" s="1"/>
  <c r="D21" i="26"/>
  <c r="AS12" i="1"/>
  <c r="AE37" i="1"/>
  <c r="AF37" i="1" s="1"/>
  <c r="D28" i="26"/>
  <c r="C4" i="13"/>
  <c r="D4" i="13" s="1"/>
  <c r="E4" i="13" s="1"/>
  <c r="AE4" i="1"/>
  <c r="AF4" i="1" s="1"/>
  <c r="D5" i="26"/>
  <c r="AE24" i="1"/>
  <c r="AF24" i="1" s="1"/>
  <c r="D18" i="26"/>
  <c r="E17" i="26"/>
  <c r="F17" i="26" s="1"/>
  <c r="AE26" i="1"/>
  <c r="AF26" i="1" s="1"/>
  <c r="D20" i="26"/>
  <c r="E14" i="26"/>
  <c r="F14" i="26" s="1"/>
  <c r="AE10" i="1"/>
  <c r="AF10" i="1" s="1"/>
  <c r="D11" i="26"/>
  <c r="AE33" i="1"/>
  <c r="AF33" i="1" s="1"/>
  <c r="D24" i="26"/>
  <c r="AE7" i="1"/>
  <c r="AF7" i="1" s="1"/>
  <c r="D8" i="26"/>
  <c r="AE2" i="1"/>
  <c r="AF2" i="1" s="1"/>
  <c r="D3" i="26"/>
  <c r="AE8" i="1"/>
  <c r="AF8" i="1" s="1"/>
  <c r="D9" i="26"/>
  <c r="AE12" i="1"/>
  <c r="AF12" i="1" s="1"/>
  <c r="D13" i="26"/>
  <c r="E10" i="26"/>
  <c r="F10" i="26" s="1"/>
  <c r="E19" i="26"/>
  <c r="F19" i="26" s="1"/>
  <c r="C3" i="12"/>
  <c r="D3" i="12" s="1"/>
  <c r="E3" i="12" s="1"/>
  <c r="C3" i="22"/>
  <c r="D3" i="22" s="1"/>
  <c r="E3" i="22" s="1"/>
  <c r="C3" i="11"/>
  <c r="D3" i="11" s="1"/>
  <c r="E3" i="11" s="1"/>
  <c r="C12" i="24"/>
  <c r="D12" i="24" s="1"/>
  <c r="E12" i="24" s="1"/>
  <c r="C3" i="24"/>
  <c r="D3" i="24" s="1"/>
  <c r="E3" i="24" s="1"/>
  <c r="C7" i="22"/>
  <c r="D7" i="22" s="1"/>
  <c r="E7" i="22" s="1"/>
  <c r="C11" i="11"/>
  <c r="D11" i="11" s="1"/>
  <c r="E11" i="11" s="1"/>
  <c r="C11" i="24"/>
  <c r="D11" i="24" s="1"/>
  <c r="E11" i="24" s="1"/>
  <c r="C8" i="11"/>
  <c r="D8" i="11" s="1"/>
  <c r="E8" i="11" s="1"/>
  <c r="C3" i="23"/>
  <c r="D3" i="23" s="1"/>
  <c r="E3" i="23" s="1"/>
  <c r="C14" i="11"/>
  <c r="D14" i="11" s="1"/>
  <c r="E14" i="11" s="1"/>
  <c r="C4" i="10"/>
  <c r="D4" i="10" s="1"/>
  <c r="E4" i="10" s="1"/>
  <c r="C8" i="12"/>
  <c r="D8" i="12" s="1"/>
  <c r="E8" i="12" s="1"/>
  <c r="C4" i="9"/>
  <c r="D4" i="9" s="1"/>
  <c r="E4" i="9" s="1"/>
  <c r="C3" i="25"/>
  <c r="D3" i="25" s="1"/>
  <c r="E3" i="25" s="1"/>
  <c r="C7" i="12"/>
  <c r="D7" i="12" s="1"/>
  <c r="E7" i="12" s="1"/>
  <c r="C5" i="8"/>
  <c r="D5" i="8" s="1"/>
  <c r="E5" i="8" s="1"/>
  <c r="C11" i="14"/>
  <c r="D11" i="14" s="1"/>
  <c r="E11" i="14" s="1"/>
  <c r="C8" i="24"/>
  <c r="D8" i="24" s="1"/>
  <c r="E8" i="24" s="1"/>
  <c r="C8" i="22"/>
  <c r="D8" i="22" s="1"/>
  <c r="E8" i="22" s="1"/>
  <c r="C13" i="11"/>
  <c r="D13" i="11" s="1"/>
  <c r="E13" i="11" s="1"/>
  <c r="C13" i="24"/>
  <c r="D13" i="24" s="1"/>
  <c r="E13" i="24" s="1"/>
  <c r="C13" i="12"/>
  <c r="D13" i="12" s="1"/>
  <c r="E13" i="12" s="1"/>
  <c r="C20" i="22"/>
  <c r="D20" i="22" s="1"/>
  <c r="E20" i="22" s="1"/>
  <c r="C12" i="11"/>
  <c r="D12" i="11" s="1"/>
  <c r="E12" i="11" s="1"/>
  <c r="C4" i="8"/>
  <c r="D4" i="8" s="1"/>
  <c r="E4" i="8" s="1"/>
  <c r="C6" i="14"/>
  <c r="D6" i="14" s="1"/>
  <c r="E6" i="14" s="1"/>
  <c r="C3" i="13"/>
  <c r="D3" i="13" s="1"/>
  <c r="E3" i="13" s="1"/>
  <c r="C3" i="9"/>
  <c r="D3" i="9" s="1"/>
  <c r="E3" i="9" s="1"/>
  <c r="C3" i="14"/>
  <c r="D3" i="14" s="1"/>
  <c r="E3" i="14" s="1"/>
  <c r="C3" i="10"/>
  <c r="D3" i="10" s="1"/>
  <c r="E3" i="10" s="1"/>
  <c r="C3" i="8"/>
  <c r="D3" i="8" s="1"/>
  <c r="E3" i="8" s="1"/>
  <c r="K9" i="42" l="1"/>
  <c r="B46" i="26"/>
  <c r="E42" i="26"/>
  <c r="F42" i="26" s="1"/>
  <c r="B42" i="26"/>
  <c r="E45" i="26"/>
  <c r="F45" i="26" s="1"/>
  <c r="B45" i="26"/>
  <c r="E43" i="26"/>
  <c r="F43" i="26" s="1"/>
  <c r="B43" i="26"/>
  <c r="E44" i="26"/>
  <c r="F44" i="26" s="1"/>
  <c r="B44" i="26"/>
  <c r="K7" i="42"/>
  <c r="K8" i="42"/>
  <c r="B41" i="26"/>
  <c r="B37" i="26"/>
  <c r="B22" i="26"/>
  <c r="B34" i="26"/>
  <c r="B35" i="26"/>
  <c r="B33" i="26"/>
  <c r="B32" i="26"/>
  <c r="B31" i="26"/>
  <c r="B29" i="26"/>
  <c r="B21" i="26"/>
  <c r="B28" i="26"/>
  <c r="B18" i="26"/>
  <c r="B20" i="26"/>
  <c r="B11" i="26"/>
  <c r="B5" i="26"/>
  <c r="B24" i="26"/>
  <c r="B8" i="26"/>
  <c r="B9" i="26"/>
  <c r="B13" i="26"/>
  <c r="E39" i="26"/>
  <c r="F39" i="26" s="1"/>
  <c r="B39" i="26"/>
  <c r="E38" i="26"/>
  <c r="F38" i="26" s="1"/>
  <c r="B38" i="26"/>
  <c r="E30" i="26"/>
  <c r="F30" i="26" s="1"/>
  <c r="B30" i="26"/>
  <c r="B3" i="26"/>
  <c r="B6" i="26"/>
  <c r="B27" i="26"/>
  <c r="B23" i="26"/>
  <c r="B40" i="26"/>
  <c r="B7" i="26"/>
  <c r="B12" i="26"/>
  <c r="B4" i="26"/>
  <c r="B15" i="26"/>
  <c r="B26" i="26"/>
  <c r="B16" i="26"/>
  <c r="B14" i="26"/>
  <c r="B10" i="26"/>
  <c r="B17" i="26"/>
  <c r="B19" i="26"/>
  <c r="B25" i="26"/>
  <c r="B36" i="26"/>
  <c r="E37" i="26"/>
  <c r="F37" i="26" s="1"/>
  <c r="AT12" i="1"/>
  <c r="K6" i="42"/>
  <c r="E35" i="26"/>
  <c r="F35" i="26" s="1"/>
  <c r="E22" i="26"/>
  <c r="F22" i="26" s="1"/>
  <c r="E34" i="26"/>
  <c r="F34" i="26" s="1"/>
  <c r="E33" i="26"/>
  <c r="F33" i="26" s="1"/>
  <c r="E32" i="26"/>
  <c r="F32" i="26" s="1"/>
  <c r="E31" i="26"/>
  <c r="F31" i="26" s="1"/>
  <c r="E29" i="26"/>
  <c r="F29" i="26" s="1"/>
  <c r="E21" i="26"/>
  <c r="F21" i="26" s="1"/>
  <c r="E28" i="26"/>
  <c r="F28" i="26" s="1"/>
  <c r="E13" i="26"/>
  <c r="F13" i="26" s="1"/>
  <c r="E9" i="26"/>
  <c r="F9" i="26" s="1"/>
  <c r="E11" i="26"/>
  <c r="F11" i="26" s="1"/>
  <c r="E18" i="26"/>
  <c r="F18" i="26" s="1"/>
  <c r="E3" i="26"/>
  <c r="F3" i="26" s="1"/>
  <c r="E5" i="26"/>
  <c r="F5" i="26" s="1"/>
  <c r="E24" i="26"/>
  <c r="F24" i="26" s="1"/>
  <c r="E8" i="26"/>
  <c r="F8" i="26" s="1"/>
  <c r="E20" i="26"/>
  <c r="F20" i="2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B97E1D-6245-4FA6-A8F0-CC11C766D72E}" keepAlive="1" name="Query - latest?symbol=BCH,BTC,ETH,OMG,XMR,XRA,XRP&amp;CMC_PRO_API_KEY=d7866e6a-8b06-4197-a5e" description="Connection to the 'latest?symbol=BCH,BTC,ETH,OMG,XMR,XRA,XRP&amp;CMC_PRO_API_KEY=d7866e6a-8b06-4197-a5e' query in the workbook." type="5" refreshedVersion="8" background="1" refreshOnLoad="1" saveData="1">
    <dbPr connection="Provider=Microsoft.Mashup.OleDb.1;Data Source=$Workbook$;Location=&quot;latest?symbol=BCH,BTC,ETH,OMG,XMR,XRA,XRP&amp;CMC_PRO_API_KEY=d7866e6a-8b06-4197-a5e&quot;;Extended Properties=&quot;&quot;" command="SELECT * FROM [latest?symbol=BCH,BTC,ETH,OMG,XMR,XRA,XRP&amp;CMC_PRO_API_KEY=d7866e6a-8b06-4197-a5e]"/>
  </connection>
  <connection id="2" xr16:uid="{02B6A13C-3712-40AC-A479-CF8B69E16B18}" keepAlive="1" name="Query - usd" description="Connection to the 'usd' query in the workbook." type="5" refreshedVersion="8" background="1" refreshOnLoad="1" saveData="1">
    <dbPr connection="Provider=Microsoft.Mashup.OleDb.1;Data Source=$Workbook$;Location=usd;Extended Properties=&quot;&quot;" command="SELECT * FROM [us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8"/>
        </ext>
      </extLst>
    </bk>
    <bk>
      <extLst>
        <ext uri="{3e2802c4-a4d2-4d8b-9148-e3be6c30e623}">
          <xlrd:rvb i="70"/>
        </ext>
      </extLst>
    </bk>
    <bk>
      <extLst>
        <ext uri="{3e2802c4-a4d2-4d8b-9148-e3be6c30e623}">
          <xlrd:rvb i="72"/>
        </ext>
      </extLst>
    </bk>
    <bk>
      <extLst>
        <ext uri="{3e2802c4-a4d2-4d8b-9148-e3be6c30e623}">
          <xlrd:rvb i="74"/>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4"/>
        </ext>
      </extLst>
    </bk>
    <bk>
      <extLst>
        <ext uri="{3e2802c4-a4d2-4d8b-9148-e3be6c30e623}">
          <xlrd:rvb i="87"/>
        </ext>
      </extLst>
    </bk>
  </futureMetadata>
  <cellMetadata count="1">
    <bk>
      <rc t="1" v="0"/>
    </bk>
  </cellMetadata>
  <valueMetadata count="3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valueMetadata>
</metadata>
</file>

<file path=xl/sharedStrings.xml><?xml version="1.0" encoding="utf-8"?>
<sst xmlns="http://schemas.openxmlformats.org/spreadsheetml/2006/main" count="2660" uniqueCount="617">
  <si>
    <t>Nome</t>
  </si>
  <si>
    <t>Tipo</t>
  </si>
  <si>
    <t>Data</t>
  </si>
  <si>
    <t>Quantità</t>
  </si>
  <si>
    <t>Prezzo</t>
  </si>
  <si>
    <t>Commissioni</t>
  </si>
  <si>
    <t>Spese valuta</t>
  </si>
  <si>
    <t>Costo</t>
  </si>
  <si>
    <t>A</t>
  </si>
  <si>
    <t>Valuta</t>
  </si>
  <si>
    <t>EUR</t>
  </si>
  <si>
    <t>Cambio</t>
  </si>
  <si>
    <t>Ricavo</t>
  </si>
  <si>
    <t>Mercato</t>
  </si>
  <si>
    <t>Delta</t>
  </si>
  <si>
    <t>Valore</t>
  </si>
  <si>
    <t>Dividendi euro</t>
  </si>
  <si>
    <t>ISIN</t>
  </si>
  <si>
    <t>Ticker</t>
  </si>
  <si>
    <t>Variazione quantità</t>
  </si>
  <si>
    <t>Delta percentuale</t>
  </si>
  <si>
    <t>Tassa plusvalenza</t>
  </si>
  <si>
    <t>Tassa</t>
  </si>
  <si>
    <t>Guadagno</t>
  </si>
  <si>
    <t>Classe</t>
  </si>
  <si>
    <t>Guadagno percentuale</t>
  </si>
  <si>
    <t>Guadagno netto</t>
  </si>
  <si>
    <t>ETF</t>
  </si>
  <si>
    <t>USD</t>
  </si>
  <si>
    <t>O</t>
  </si>
  <si>
    <t>Name</t>
  </si>
  <si>
    <t>Value.symbol</t>
  </si>
  <si>
    <t>Value.quote.USD.price</t>
  </si>
  <si>
    <t>baseCurrency</t>
  </si>
  <si>
    <t>targetCurrency</t>
  </si>
  <si>
    <t>targetName</t>
  </si>
  <si>
    <t>inverseRate</t>
  </si>
  <si>
    <t>exchangeRate</t>
  </si>
  <si>
    <t>AUST</t>
  </si>
  <si>
    <t>AED</t>
  </si>
  <si>
    <t>U.A.E Dirham</t>
  </si>
  <si>
    <t>AVAX</t>
  </si>
  <si>
    <t>AFN</t>
  </si>
  <si>
    <t>BCH</t>
  </si>
  <si>
    <t>ALL</t>
  </si>
  <si>
    <t>BNB</t>
  </si>
  <si>
    <t>AMD</t>
  </si>
  <si>
    <t>BTC</t>
  </si>
  <si>
    <t>ANG</t>
  </si>
  <si>
    <t>BUSD</t>
  </si>
  <si>
    <t>AOA</t>
  </si>
  <si>
    <t>CAKE</t>
  </si>
  <si>
    <t>ARS</t>
  </si>
  <si>
    <t>Argentine Peso</t>
  </si>
  <si>
    <t>CRO</t>
  </si>
  <si>
    <t>AUD</t>
  </si>
  <si>
    <t>Australian Dollar</t>
  </si>
  <si>
    <t>DAI</t>
  </si>
  <si>
    <t>AWG</t>
  </si>
  <si>
    <t>DOGE</t>
  </si>
  <si>
    <t>AZN</t>
  </si>
  <si>
    <t>ETH</t>
  </si>
  <si>
    <t>BAM</t>
  </si>
  <si>
    <t>ETHW</t>
  </si>
  <si>
    <t>BBD</t>
  </si>
  <si>
    <t>EURS</t>
  </si>
  <si>
    <t>BDT</t>
  </si>
  <si>
    <t>Bangladeshi taka</t>
  </si>
  <si>
    <t>LUNA</t>
  </si>
  <si>
    <t>BGN</t>
  </si>
  <si>
    <t>LUNAX</t>
  </si>
  <si>
    <t>BHD</t>
  </si>
  <si>
    <t>LUNC</t>
  </si>
  <si>
    <t>BIF</t>
  </si>
  <si>
    <t>MATIC</t>
  </si>
  <si>
    <t>BND</t>
  </si>
  <si>
    <t>NEXO</t>
  </si>
  <si>
    <t>BOB</t>
  </si>
  <si>
    <t>Bolivian Boliviano</t>
  </si>
  <si>
    <t>OMG</t>
  </si>
  <si>
    <t>BRL</t>
  </si>
  <si>
    <t>Brazilian Real</t>
  </si>
  <si>
    <t>PNT</t>
  </si>
  <si>
    <t>BSD</t>
  </si>
  <si>
    <t>SHIB</t>
  </si>
  <si>
    <t>BWP</t>
  </si>
  <si>
    <t>SLND</t>
  </si>
  <si>
    <t>BYN</t>
  </si>
  <si>
    <t>Belarussian Ruble</t>
  </si>
  <si>
    <t>SOL</t>
  </si>
  <si>
    <t>BZD</t>
  </si>
  <si>
    <t>USDC</t>
  </si>
  <si>
    <t>CAD</t>
  </si>
  <si>
    <t>Canadian Dollar</t>
  </si>
  <si>
    <t>USDT</t>
  </si>
  <si>
    <t>CDF</t>
  </si>
  <si>
    <t>UST</t>
  </si>
  <si>
    <t>CHF</t>
  </si>
  <si>
    <t>Swiss Franc</t>
  </si>
  <si>
    <t>XMR</t>
  </si>
  <si>
    <t>CLP</t>
  </si>
  <si>
    <t>Chilean Peso</t>
  </si>
  <si>
    <t>XRA</t>
  </si>
  <si>
    <t>CNY</t>
  </si>
  <si>
    <t>Chinese Yuan</t>
  </si>
  <si>
    <t>XRP</t>
  </si>
  <si>
    <t>COP</t>
  </si>
  <si>
    <t>Colombian Peso</t>
  </si>
  <si>
    <t>XTZ</t>
  </si>
  <si>
    <t>CRC</t>
  </si>
  <si>
    <t>Costa Rican Colón</t>
  </si>
  <si>
    <t>CUP</t>
  </si>
  <si>
    <t>CVE</t>
  </si>
  <si>
    <t>CZK</t>
  </si>
  <si>
    <t>Czech Koruna</t>
  </si>
  <si>
    <t>DJF</t>
  </si>
  <si>
    <t>DKK</t>
  </si>
  <si>
    <t>Danish Krone</t>
  </si>
  <si>
    <t>DOP</t>
  </si>
  <si>
    <t>Dominican Peso</t>
  </si>
  <si>
    <t>DZD</t>
  </si>
  <si>
    <t>Algerian Dinar</t>
  </si>
  <si>
    <t>EGP</t>
  </si>
  <si>
    <t>Egyptian Pound</t>
  </si>
  <si>
    <t>ERN</t>
  </si>
  <si>
    <t>ETB</t>
  </si>
  <si>
    <t>Euro</t>
  </si>
  <si>
    <t>FJD</t>
  </si>
  <si>
    <t>GBP</t>
  </si>
  <si>
    <t>U.K. Pound Sterling</t>
  </si>
  <si>
    <t>GEL</t>
  </si>
  <si>
    <t>GHS</t>
  </si>
  <si>
    <t>GIP</t>
  </si>
  <si>
    <t>GMD</t>
  </si>
  <si>
    <t>GNF</t>
  </si>
  <si>
    <t>GTQ</t>
  </si>
  <si>
    <t>GYD</t>
  </si>
  <si>
    <t>HKD</t>
  </si>
  <si>
    <t>Hong Kong Dollar</t>
  </si>
  <si>
    <t>HNL</t>
  </si>
  <si>
    <t>HRK</t>
  </si>
  <si>
    <t>HTG</t>
  </si>
  <si>
    <t>Haitian gourde</t>
  </si>
  <si>
    <t>HUF</t>
  </si>
  <si>
    <t>Hungarian Forint</t>
  </si>
  <si>
    <t>IDR</t>
  </si>
  <si>
    <t>Indonesian Rupiah</t>
  </si>
  <si>
    <t>ILS</t>
  </si>
  <si>
    <t>Israeli New Sheqel</t>
  </si>
  <si>
    <t>INR</t>
  </si>
  <si>
    <t>Indian Rupee</t>
  </si>
  <si>
    <t>IQD</t>
  </si>
  <si>
    <t>IRR</t>
  </si>
  <si>
    <t>ISK</t>
  </si>
  <si>
    <t>Icelandic Krona</t>
  </si>
  <si>
    <t>JMD</t>
  </si>
  <si>
    <t>JOD</t>
  </si>
  <si>
    <t>Jordanian Dinar</t>
  </si>
  <si>
    <t>JPY</t>
  </si>
  <si>
    <t>Japanese Yen</t>
  </si>
  <si>
    <t>KES</t>
  </si>
  <si>
    <t>KGS</t>
  </si>
  <si>
    <t>KHR</t>
  </si>
  <si>
    <t>KMF</t>
  </si>
  <si>
    <t>KRW</t>
  </si>
  <si>
    <t>South Korean Won</t>
  </si>
  <si>
    <t>KWD</t>
  </si>
  <si>
    <t>KZT</t>
  </si>
  <si>
    <t>LAK</t>
  </si>
  <si>
    <t>LBP</t>
  </si>
  <si>
    <t>Lebanese Pound</t>
  </si>
  <si>
    <t>LKR</t>
  </si>
  <si>
    <t>LRD</t>
  </si>
  <si>
    <t>LSL</t>
  </si>
  <si>
    <t>LYD</t>
  </si>
  <si>
    <t>MAD</t>
  </si>
  <si>
    <t>MDL</t>
  </si>
  <si>
    <t>MGA</t>
  </si>
  <si>
    <t>MKD</t>
  </si>
  <si>
    <t>MMK</t>
  </si>
  <si>
    <t>MNT</t>
  </si>
  <si>
    <t>MOP</t>
  </si>
  <si>
    <t>MRO</t>
  </si>
  <si>
    <t>MRU</t>
  </si>
  <si>
    <t>MUR</t>
  </si>
  <si>
    <t>MVR</t>
  </si>
  <si>
    <t>MWK</t>
  </si>
  <si>
    <t>MXN</t>
  </si>
  <si>
    <t>Mexican Peso</t>
  </si>
  <si>
    <t>MYR</t>
  </si>
  <si>
    <t>Malaysian Ringgit</t>
  </si>
  <si>
    <t>MZN</t>
  </si>
  <si>
    <t>NAD</t>
  </si>
  <si>
    <t>NGN</t>
  </si>
  <si>
    <t>NIO</t>
  </si>
  <si>
    <t>NOK</t>
  </si>
  <si>
    <t>Norwegian Krone</t>
  </si>
  <si>
    <t>NPR</t>
  </si>
  <si>
    <t>NZD</t>
  </si>
  <si>
    <t>New Zealand Dollar</t>
  </si>
  <si>
    <t>OMR</t>
  </si>
  <si>
    <t>PAB</t>
  </si>
  <si>
    <t>Panamanian Balboa</t>
  </si>
  <si>
    <t>PEN</t>
  </si>
  <si>
    <t>Peruvian Nuevo Sol</t>
  </si>
  <si>
    <t>PGK</t>
  </si>
  <si>
    <t>PHP</t>
  </si>
  <si>
    <t>Philippine Peso</t>
  </si>
  <si>
    <t>PKR</t>
  </si>
  <si>
    <t>Pakistani Rupee</t>
  </si>
  <si>
    <t>PLN</t>
  </si>
  <si>
    <t>Polish Zloty</t>
  </si>
  <si>
    <t>PYG</t>
  </si>
  <si>
    <t>Paraguayan Guaraní</t>
  </si>
  <si>
    <t>QAR</t>
  </si>
  <si>
    <t>RON</t>
  </si>
  <si>
    <t>Romanian New Leu</t>
  </si>
  <si>
    <t>RSD</t>
  </si>
  <si>
    <t>RUB</t>
  </si>
  <si>
    <t>Russian Rouble</t>
  </si>
  <si>
    <t>RWF</t>
  </si>
  <si>
    <t>SAR</t>
  </si>
  <si>
    <t>Saudi Riyal</t>
  </si>
  <si>
    <t>SBD</t>
  </si>
  <si>
    <t>SCR</t>
  </si>
  <si>
    <t>SDG</t>
  </si>
  <si>
    <t>SEK</t>
  </si>
  <si>
    <t>Swedish Krona</t>
  </si>
  <si>
    <t>SGD</t>
  </si>
  <si>
    <t>Singapore Dollar</t>
  </si>
  <si>
    <t>SOS</t>
  </si>
  <si>
    <t>SRD</t>
  </si>
  <si>
    <t>SSP</t>
  </si>
  <si>
    <t>STN</t>
  </si>
  <si>
    <t>SVC</t>
  </si>
  <si>
    <t>SYP</t>
  </si>
  <si>
    <t>SZL</t>
  </si>
  <si>
    <t>THB</t>
  </si>
  <si>
    <t>Thai Baht</t>
  </si>
  <si>
    <t>TJS</t>
  </si>
  <si>
    <t>TMT</t>
  </si>
  <si>
    <t>TND</t>
  </si>
  <si>
    <t>Tunisian Dinar</t>
  </si>
  <si>
    <t>TOP</t>
  </si>
  <si>
    <t>TRY</t>
  </si>
  <si>
    <t>Turkish Lira</t>
  </si>
  <si>
    <t>TTD</t>
  </si>
  <si>
    <t>TWD</t>
  </si>
  <si>
    <t xml:space="preserve">New Taiwan Dollar </t>
  </si>
  <si>
    <t>TZS</t>
  </si>
  <si>
    <t>UAH</t>
  </si>
  <si>
    <t>Ukrainian Hryvnia</t>
  </si>
  <si>
    <t>UGX</t>
  </si>
  <si>
    <t>UYU</t>
  </si>
  <si>
    <t>Uruguayan Peso</t>
  </si>
  <si>
    <t>UZS</t>
  </si>
  <si>
    <t>VES</t>
  </si>
  <si>
    <t>Venezuelan Bolivar</t>
  </si>
  <si>
    <t>VND</t>
  </si>
  <si>
    <t>Vietnamese Dong</t>
  </si>
  <si>
    <t>VUV</t>
  </si>
  <si>
    <t>WST</t>
  </si>
  <si>
    <t>XAF</t>
  </si>
  <si>
    <t>Central African CFA Franc</t>
  </si>
  <si>
    <t>XCD</t>
  </si>
  <si>
    <t>XOF</t>
  </si>
  <si>
    <t>West African CFA Franc</t>
  </si>
  <si>
    <t>XPF</t>
  </si>
  <si>
    <t>YER</t>
  </si>
  <si>
    <t>ZAR</t>
  </si>
  <si>
    <t>South African Rand</t>
  </si>
  <si>
    <t>ZMW</t>
  </si>
  <si>
    <t>Cambio EUR</t>
  </si>
  <si>
    <t>Azioni</t>
  </si>
  <si>
    <t>Obblig</t>
  </si>
  <si>
    <t>Area</t>
  </si>
  <si>
    <t>Italia</t>
  </si>
  <si>
    <t>Settore</t>
  </si>
  <si>
    <t>ID</t>
  </si>
  <si>
    <t>Dividendi valuta</t>
  </si>
  <si>
    <t>Dividendi totali euro</t>
  </si>
  <si>
    <t>Costo totale</t>
  </si>
  <si>
    <t>Valore totale</t>
  </si>
  <si>
    <t>Rendimento medio</t>
  </si>
  <si>
    <t>Ricavo totale</t>
  </si>
  <si>
    <t>Plusvalenza</t>
  </si>
  <si>
    <t>Titoli in portafoglio</t>
  </si>
  <si>
    <t>Titoli venduti</t>
  </si>
  <si>
    <t>Intermediario</t>
  </si>
  <si>
    <t>energia</t>
  </si>
  <si>
    <t>banca</t>
  </si>
  <si>
    <t>farmacia</t>
  </si>
  <si>
    <t>auto</t>
  </si>
  <si>
    <t>siderurgia</t>
  </si>
  <si>
    <t>consumo</t>
  </si>
  <si>
    <t>alimentari</t>
  </si>
  <si>
    <t>Emittente</t>
  </si>
  <si>
    <t>Lyxor</t>
  </si>
  <si>
    <t>Deutsche Bank</t>
  </si>
  <si>
    <t>ishares</t>
  </si>
  <si>
    <t>UBS</t>
  </si>
  <si>
    <t>ICBCCS</t>
  </si>
  <si>
    <t>Amundi</t>
  </si>
  <si>
    <t>Franklin</t>
  </si>
  <si>
    <t>Vanguard</t>
  </si>
  <si>
    <t>Invesco</t>
  </si>
  <si>
    <t>EU</t>
  </si>
  <si>
    <t>US</t>
  </si>
  <si>
    <t>UK</t>
  </si>
  <si>
    <t>Canada</t>
  </si>
  <si>
    <t>Australia</t>
  </si>
  <si>
    <t>Russia</t>
  </si>
  <si>
    <t>Messico</t>
  </si>
  <si>
    <t>Giappone</t>
  </si>
  <si>
    <t>Svizzera</t>
  </si>
  <si>
    <t>Sud Africa</t>
  </si>
  <si>
    <t>Cina</t>
  </si>
  <si>
    <t>Svezia</t>
  </si>
  <si>
    <t>India</t>
  </si>
  <si>
    <t>Corea</t>
  </si>
  <si>
    <t>tecnologia</t>
  </si>
  <si>
    <t>industria</t>
  </si>
  <si>
    <t>immobili</t>
  </si>
  <si>
    <t>distribuzione</t>
  </si>
  <si>
    <t>Kazakistan</t>
  </si>
  <si>
    <t>Indonesia</t>
  </si>
  <si>
    <t>Statistiche</t>
  </si>
  <si>
    <t>Hodlnaut</t>
  </si>
  <si>
    <t>Exodus</t>
  </si>
  <si>
    <t>Binance</t>
  </si>
  <si>
    <t>Terra station</t>
  </si>
  <si>
    <t>Phantom</t>
  </si>
  <si>
    <t>CC</t>
  </si>
  <si>
    <t>Liquidi</t>
  </si>
  <si>
    <t>CR</t>
  </si>
  <si>
    <t>CD</t>
  </si>
  <si>
    <t>BBVA</t>
  </si>
  <si>
    <t>N26</t>
  </si>
  <si>
    <t>governativo</t>
  </si>
  <si>
    <t>Fineco</t>
  </si>
  <si>
    <t>Directa</t>
  </si>
  <si>
    <t>Arancio</t>
  </si>
  <si>
    <t>Sella</t>
  </si>
  <si>
    <t>Trust Wallet</t>
  </si>
  <si>
    <t>Coinbase Wallet</t>
  </si>
  <si>
    <t>Electrum</t>
  </si>
  <si>
    <t>crypto.com</t>
  </si>
  <si>
    <t>Carta ricaricabile crypto.com</t>
  </si>
  <si>
    <t>Conto deposito Directa</t>
  </si>
  <si>
    <t>cdDirecta</t>
  </si>
  <si>
    <t>iShares Core MSCI World UCITS ETF USD (Acc)</t>
  </si>
  <si>
    <t>Mondo</t>
  </si>
  <si>
    <t>iShares</t>
  </si>
  <si>
    <t>IE00B4L5Y983</t>
  </si>
  <si>
    <t>Milano</t>
  </si>
  <si>
    <t>Vanguard FTSE Emerging Markets UCITS ETF (USD) Dis</t>
  </si>
  <si>
    <t>IE00B3VVMM84</t>
  </si>
  <si>
    <t>iShares Global Clean Energy UCITS ETF USD (Dist)</t>
  </si>
  <si>
    <t>Energia</t>
  </si>
  <si>
    <t>IE00B1XNHC34</t>
  </si>
  <si>
    <t>iShares Core S&amp;P 500 UCITS ETF USD (Dist)</t>
  </si>
  <si>
    <t>IE0031442068</t>
  </si>
  <si>
    <t>Amundi MSCI Semiconductors ESG Screened UCITS ETF Acc</t>
  </si>
  <si>
    <t>LU1900066033</t>
  </si>
  <si>
    <t>Xtrackers Artif. Int. and Big Data UCITS ETF 1C</t>
  </si>
  <si>
    <t>Xtrackers</t>
  </si>
  <si>
    <t>IE00BGV5VN51</t>
  </si>
  <si>
    <t>iShares Core MSCI Europe UCITS ETF EUR (Acc)</t>
  </si>
  <si>
    <t>Mondo Sviluppato</t>
  </si>
  <si>
    <t>Paesi Emergenti</t>
  </si>
  <si>
    <t>IE00B4K48X80</t>
  </si>
  <si>
    <t>BTP-VAL 13GN27SU CUM</t>
  </si>
  <si>
    <t>Governativo</t>
  </si>
  <si>
    <t>USA-15FB26 6</t>
  </si>
  <si>
    <t>MOT</t>
  </si>
  <si>
    <t>ETLX</t>
  </si>
  <si>
    <t>US912810EW46</t>
  </si>
  <si>
    <t>BTP-1OT53 4,5</t>
  </si>
  <si>
    <t>IT0005534141</t>
  </si>
  <si>
    <t>CNH Industrial</t>
  </si>
  <si>
    <t>Auto</t>
  </si>
  <si>
    <t>NL0010545661</t>
  </si>
  <si>
    <t>Unicredit</t>
  </si>
  <si>
    <t>Banca</t>
  </si>
  <si>
    <t>IT0005239360</t>
  </si>
  <si>
    <t>Poste Italiane</t>
  </si>
  <si>
    <t>Distribuzione</t>
  </si>
  <si>
    <t>IT0003796171</t>
  </si>
  <si>
    <t>STMicroElectronics</t>
  </si>
  <si>
    <t>Tecnologia</t>
  </si>
  <si>
    <t>NL0000226223</t>
  </si>
  <si>
    <t>Intesa San Paolo</t>
  </si>
  <si>
    <t>IT0000072618</t>
  </si>
  <si>
    <t>Leonardo</t>
  </si>
  <si>
    <t>Industria</t>
  </si>
  <si>
    <t>IT0003856405</t>
  </si>
  <si>
    <t>Enel</t>
  </si>
  <si>
    <t>IT0003128367</t>
  </si>
  <si>
    <t>Eni</t>
  </si>
  <si>
    <t>IT0003132476</t>
  </si>
  <si>
    <t>Apple</t>
  </si>
  <si>
    <t>US0378331005</t>
  </si>
  <si>
    <t>Nasdaq</t>
  </si>
  <si>
    <t>Amazon</t>
  </si>
  <si>
    <t>US0231351067</t>
  </si>
  <si>
    <t>Microsoft</t>
  </si>
  <si>
    <t>US5949181045</t>
  </si>
  <si>
    <t>Vanguard FTSE All-World UCITS ETF (USD) Acc</t>
  </si>
  <si>
    <t>IE00BK5BQT80</t>
  </si>
  <si>
    <t>BTP-29ST25 3,60</t>
  </si>
  <si>
    <t>IT0005557084</t>
  </si>
  <si>
    <t>USA-15MG25 2,125</t>
  </si>
  <si>
    <t>US912828XB14</t>
  </si>
  <si>
    <t>Mondo sviluppato</t>
  </si>
  <si>
    <t>Paesi emergenti</t>
  </si>
  <si>
    <t>Percentuale Portafoglio</t>
  </si>
  <si>
    <t>BTP-VAL 10OT28SU CUM</t>
  </si>
  <si>
    <t>Fineco-C</t>
  </si>
  <si>
    <t>SPAIN-30LG33 2,35</t>
  </si>
  <si>
    <t>Spagna</t>
  </si>
  <si>
    <t>ES00000128Q6</t>
  </si>
  <si>
    <t>BTP-VAL 5MZ30SU CUM</t>
  </si>
  <si>
    <t>Nigerian Naira</t>
  </si>
  <si>
    <t>Invesco Physical Gold ETC</t>
  </si>
  <si>
    <t>IE00B579F325</t>
  </si>
  <si>
    <t>Siderurgia</t>
  </si>
  <si>
    <t>BTP-28GE26 3,2</t>
  </si>
  <si>
    <t>IT0005584302</t>
  </si>
  <si>
    <t>Xtrackers II EUR Overnight Rate Swap UCITS ETF 1C</t>
  </si>
  <si>
    <t>LU0290358497</t>
  </si>
  <si>
    <t>iShares iBonds Dec 2028 Term EUR Corp UCITS ETF (Acc)</t>
  </si>
  <si>
    <t>IE0008UEVOE0</t>
  </si>
  <si>
    <t>Amundi IS Fix. Mat. 2028 Euro Gov Bd Br. UCITS ETF Dis</t>
  </si>
  <si>
    <t>LU2780871401</t>
  </si>
  <si>
    <t>Afghan afghani</t>
  </si>
  <si>
    <t>Albanian lek</t>
  </si>
  <si>
    <t>Armenia Dram</t>
  </si>
  <si>
    <t>Angolan kwanza</t>
  </si>
  <si>
    <t>Aruban florin</t>
  </si>
  <si>
    <t>Azerbaijan Manat</t>
  </si>
  <si>
    <t>Bosnia and Herzegovina convertible mark</t>
  </si>
  <si>
    <t>Barbadian Dollar</t>
  </si>
  <si>
    <t>Bahrain Dinar</t>
  </si>
  <si>
    <t>Burundian franc</t>
  </si>
  <si>
    <t>Brunei Dollar</t>
  </si>
  <si>
    <t>Bahamian Dollar</t>
  </si>
  <si>
    <t>Botswana Pula</t>
  </si>
  <si>
    <t>Belize dollar</t>
  </si>
  <si>
    <t>Congolese franc</t>
  </si>
  <si>
    <t>Cuban peso</t>
  </si>
  <si>
    <t>Cape Verde escudo</t>
  </si>
  <si>
    <t>Djiboutian franc</t>
  </si>
  <si>
    <t>Eritrean nakfa</t>
  </si>
  <si>
    <t>Ethiopian birr</t>
  </si>
  <si>
    <t>Fiji Dollar</t>
  </si>
  <si>
    <t>Georgian lari</t>
  </si>
  <si>
    <t>Ghanaian Cedi</t>
  </si>
  <si>
    <t>Gibraltar pound</t>
  </si>
  <si>
    <t>Gambian dalasi</t>
  </si>
  <si>
    <t>Guinean franc</t>
  </si>
  <si>
    <t>Guatemalan Quetzal</t>
  </si>
  <si>
    <t>Guyanese dollar</t>
  </si>
  <si>
    <t>Honduran Lempira</t>
  </si>
  <si>
    <t>Iraqi dinar</t>
  </si>
  <si>
    <t>Jamaican Dollar</t>
  </si>
  <si>
    <t>Kenyan shilling</t>
  </si>
  <si>
    <t>Kyrgyzstan Som</t>
  </si>
  <si>
    <t>Cambodian riel</t>
  </si>
  <si>
    <t xml:space="preserve">	Comoro franc</t>
  </si>
  <si>
    <t>Kuwaiti Dinar</t>
  </si>
  <si>
    <t>Kazakhstani Tenge</t>
  </si>
  <si>
    <t>Sri Lanka Rupee</t>
  </si>
  <si>
    <t>Liberian dollar</t>
  </si>
  <si>
    <t>Lesotho loti</t>
  </si>
  <si>
    <t>Libyan Dinar</t>
  </si>
  <si>
    <t>Moroccan Dirham</t>
  </si>
  <si>
    <t>Moldova Lei</t>
  </si>
  <si>
    <t>Malagasy ariary</t>
  </si>
  <si>
    <t>Macedonian denar</t>
  </si>
  <si>
    <t>Myanma Kyat</t>
  </si>
  <si>
    <t>Mongolian togrog</t>
  </si>
  <si>
    <t>Macanese pataca</t>
  </si>
  <si>
    <t>Mauritanian ouguiya</t>
  </si>
  <si>
    <t>Mauritian Rupee</t>
  </si>
  <si>
    <t>Maldivian rufiyaa</t>
  </si>
  <si>
    <t>Malawian kwacha</t>
  </si>
  <si>
    <t>Mozambican metical</t>
  </si>
  <si>
    <t>Namibian dollar</t>
  </si>
  <si>
    <t>Nicaraguan Córdoba</t>
  </si>
  <si>
    <t>Nepalese Rupee</t>
  </si>
  <si>
    <t>Omani Rial</t>
  </si>
  <si>
    <t>Papua New Guinean kina</t>
  </si>
  <si>
    <t>Qatari Rial</t>
  </si>
  <si>
    <t>Serbian Dinar</t>
  </si>
  <si>
    <t>Rwandan franc</t>
  </si>
  <si>
    <t>Solomon Islands dollar</t>
  </si>
  <si>
    <t>Seychelles rupee</t>
  </si>
  <si>
    <t>Sudanese pound</t>
  </si>
  <si>
    <t>Somali shilling</t>
  </si>
  <si>
    <t>Surinamese dollar</t>
  </si>
  <si>
    <t>South Sudanese pound</t>
  </si>
  <si>
    <t>São Tomé and Príncipe Dobra</t>
  </si>
  <si>
    <t>Salvadoran colon</t>
  </si>
  <si>
    <t>Swazi lilangeni</t>
  </si>
  <si>
    <t>Tajikistan Ruble</t>
  </si>
  <si>
    <t>New Turkmenistan Manat</t>
  </si>
  <si>
    <t>Tongan paʻanga</t>
  </si>
  <si>
    <t>Trinidad Tobago Dollar</t>
  </si>
  <si>
    <t>Tanzanian shilling</t>
  </si>
  <si>
    <t>Ugandan shilling</t>
  </si>
  <si>
    <t>Uzbekistan Sum</t>
  </si>
  <si>
    <t>Vanuatu vatu</t>
  </si>
  <si>
    <t>Samoan tala</t>
  </si>
  <si>
    <t>East Caribbean Dollar</t>
  </si>
  <si>
    <t>CFP Franc</t>
  </si>
  <si>
    <t>Yemeni rial</t>
  </si>
  <si>
    <t>Zambian kwacha</t>
  </si>
  <si>
    <t>Tassazione</t>
  </si>
  <si>
    <t>Totale netto:</t>
  </si>
  <si>
    <t>Totale lordo:</t>
  </si>
  <si>
    <t>Cedole nette</t>
  </si>
  <si>
    <t>Xetra</t>
  </si>
  <si>
    <t>Oro</t>
  </si>
  <si>
    <t>Tassazione Sbagliata</t>
  </si>
  <si>
    <t>Note</t>
  </si>
  <si>
    <t>BTP-PIU 25FB33 CUM</t>
  </si>
  <si>
    <t>Data_Acquisto</t>
  </si>
  <si>
    <t>Data_Vendita</t>
  </si>
  <si>
    <t>Prezzo_Acquisto</t>
  </si>
  <si>
    <t>Prezzo_Vendita</t>
  </si>
  <si>
    <t>Spese euro acquisto</t>
  </si>
  <si>
    <t>Spese euro vendita</t>
  </si>
  <si>
    <t>IT0005565400</t>
  </si>
  <si>
    <t>IT0005583486</t>
  </si>
  <si>
    <t>IT0005547408</t>
  </si>
  <si>
    <t>IT0005634800</t>
  </si>
  <si>
    <t>Ticker Data</t>
  </si>
  <si>
    <t>AAPL</t>
  </si>
  <si>
    <t>AMZN</t>
  </si>
  <si>
    <t>MSFT</t>
  </si>
  <si>
    <t>XEON.MI</t>
  </si>
  <si>
    <t>VWCE.MI</t>
  </si>
  <si>
    <t>SGLD.MI</t>
  </si>
  <si>
    <t>SMEA.MI</t>
  </si>
  <si>
    <t>XAIX.MI</t>
  </si>
  <si>
    <t>CHIP.MI</t>
  </si>
  <si>
    <t>IUSA.MI</t>
  </si>
  <si>
    <t>INRG.MI</t>
  </si>
  <si>
    <t>VFEM.MI</t>
  </si>
  <si>
    <t>SWDA.MI</t>
  </si>
  <si>
    <t>CNHI.VI</t>
  </si>
  <si>
    <t>IVOA.DE</t>
  </si>
  <si>
    <t>MB28.MI</t>
  </si>
  <si>
    <t>ENEL.MI</t>
  </si>
  <si>
    <t>ISP.MI</t>
  </si>
  <si>
    <t>UCG.MI</t>
  </si>
  <si>
    <t>PST.MI</t>
  </si>
  <si>
    <t>STMMI.MI</t>
  </si>
  <si>
    <t>LDO.MI</t>
  </si>
  <si>
    <t>ENI.MI</t>
  </si>
  <si>
    <t>FRANCE-25FB28 0,75</t>
  </si>
  <si>
    <t>Francia</t>
  </si>
  <si>
    <t>FR001400AIN5</t>
  </si>
  <si>
    <t>XCG</t>
  </si>
  <si>
    <t>Caribbean guilder</t>
  </si>
  <si>
    <t>Ticker Symbol</t>
  </si>
  <si>
    <t>Security Name</t>
  </si>
  <si>
    <t>Currency</t>
  </si>
  <si>
    <t>Securities account</t>
  </si>
  <si>
    <t>Cash Account</t>
  </si>
  <si>
    <t>Type</t>
  </si>
  <si>
    <t>Date</t>
  </si>
  <si>
    <t>Value</t>
  </si>
  <si>
    <t>Buy</t>
  </si>
  <si>
    <t>Shares</t>
  </si>
  <si>
    <t>fees</t>
  </si>
  <si>
    <t>taxes</t>
  </si>
  <si>
    <t>Class</t>
  </si>
  <si>
    <t>Exchange rate</t>
  </si>
  <si>
    <t>Currency Gross Amount</t>
  </si>
  <si>
    <t>Id</t>
  </si>
  <si>
    <t>Sell</t>
  </si>
  <si>
    <t>Dividend</t>
  </si>
  <si>
    <t>Dividendi lordi</t>
  </si>
  <si>
    <t>Dividendi totali netti euro</t>
  </si>
  <si>
    <t>Tasse</t>
  </si>
  <si>
    <t>iShares iBonds Dec 2029 Term EUR Corp UCITS ETF (Acc)</t>
  </si>
  <si>
    <t>IE000SNLFDR7</t>
  </si>
  <si>
    <t>29GA.MI</t>
  </si>
  <si>
    <t>BTP ITALIA-4GN32 CUM</t>
  </si>
  <si>
    <t>IT0005648248</t>
  </si>
  <si>
    <t>IE000Y2BJVK9</t>
  </si>
  <si>
    <t>30IA.MI</t>
  </si>
  <si>
    <t>iShares iBonds Dec 2031 Term EUR Corp UCITS ETF EUR (Acc)</t>
  </si>
  <si>
    <t>iShares iBonds Dec 2030 Term EUR Corp UCITS ETF EUR (Acc)</t>
  </si>
  <si>
    <t>IE000D9WMGF0</t>
  </si>
  <si>
    <t>IG31.MI</t>
  </si>
  <si>
    <t>BTP VAL-28OT32 CUM</t>
  </si>
  <si>
    <t>IT0005672024</t>
  </si>
  <si>
    <t>Iranian rial</t>
  </si>
  <si>
    <t>Lao kip</t>
  </si>
  <si>
    <t>Syrian pound</t>
  </si>
  <si>
    <t>Xtrackers II Eurozone Gov. Bond 1-3 UCITS ETF 1C</t>
  </si>
  <si>
    <t>LU0290356871</t>
  </si>
  <si>
    <t>Amundi Euro Government Bond 3-5Y UCITS ETF Acc</t>
  </si>
  <si>
    <t>LU1650488494</t>
  </si>
  <si>
    <t>Xtrackers MSCI World ex USA UCITS ETF 1C</t>
  </si>
  <si>
    <t>Mondo ex-US</t>
  </si>
  <si>
    <t>IE0006WW1TQ4</t>
  </si>
  <si>
    <t>iShares Core MSCI EMU UCITS ETF EUR (Acc)</t>
  </si>
  <si>
    <t>IE00B53QG562</t>
  </si>
  <si>
    <t>X13E.MI</t>
  </si>
  <si>
    <t>EM35.MI</t>
  </si>
  <si>
    <t>EXUS.MI</t>
  </si>
  <si>
    <t>CSEMU.MI</t>
  </si>
  <si>
    <t>BTP-10MZ32 VAL CUM</t>
  </si>
  <si>
    <t>IT0005696320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</si>
</sst>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 #,##0.00\ &quot;€&quot;_-;\-* #,##0.00\ &quot;€&quot;_-;_-* &quot;-&quot;??\ &quot;€&quot;_-;_-@_-"/>
    <numFmt numFmtId="164" formatCode="#,##0.00\ [$€-410]"/>
    <numFmt numFmtId="165" formatCode="0.0%"/>
    <numFmt numFmtId="166" formatCode="#,##0.0000\ [$€-410]"/>
    <numFmt numFmtId="167" formatCode="\+#,##0;\-#,##0"/>
    <numFmt numFmtId="168" formatCode="\+#,##0.00\ [$€-410];\-#,##0.00\ [$€-410]"/>
    <numFmt numFmtId="169" formatCode="\+0%;\-0%"/>
    <numFmt numFmtId="170" formatCode="0.0000000"/>
    <numFmt numFmtId="171" formatCode="#,##0\ [$€-410]"/>
    <numFmt numFmtId="172" formatCode="0.000%"/>
    <numFmt numFmtId="173" formatCode="_([$€-2]\ * #,##0.00_);_([$€-2]\ * \(#,##0.00\);_([$€-2]\ * &quot;-&quot;??_);_(@_)"/>
    <numFmt numFmtId="174" formatCode="_-[$$-409]* #,##0.00_ ;_-[$$-409]* \-#,##0.00\ ;_-[$$-409]* &quot;-&quot;??_ ;_-@_ "/>
    <numFmt numFmtId="175" formatCode="#,##0.00_ ;[Red]\-#,##0.00\ "/>
    <numFmt numFmtId="176" formatCode="_([$$-409]* #,##0.00_);_([$$-409]* \(#,##0.00\);_([$$-409]* &quot;-&quot;??_);_(@_)"/>
    <numFmt numFmtId="177" formatCode="#,##0.00\ _€"/>
    <numFmt numFmtId="178" formatCode="#,##0.00\ &quot;€&quot;"/>
    <numFmt numFmtId="179" formatCode="yyyy\-mm\-dd;@"/>
  </numFmts>
  <fonts count="6" x14ac:knownFonts="1">
    <font>
      <sz val="11"/>
      <color theme="1"/>
      <name val="Calibri"/>
      <family val="2"/>
      <scheme val="minor"/>
    </font>
    <font>
      <sz val="11"/>
      <color theme="1"/>
      <name val="Calibri"/>
      <family val="2"/>
      <scheme val="minor"/>
    </font>
    <font>
      <b/>
      <sz val="11"/>
      <color rgb="FFFF0000"/>
      <name val="Calibri"/>
      <family val="2"/>
      <scheme val="minor"/>
    </font>
    <font>
      <sz val="10"/>
      <name val="Arial"/>
      <family val="2"/>
    </font>
    <font>
      <b/>
      <sz val="10"/>
      <color rgb="FFFF0000"/>
      <name val="Arial"/>
      <family val="2"/>
    </font>
    <font>
      <b/>
      <sz val="11"/>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cellStyleXfs>
  <cellXfs count="95">
    <xf numFmtId="0" fontId="0" fillId="0" borderId="0" xfId="0"/>
    <xf numFmtId="0" fontId="0" fillId="2" borderId="0" xfId="0" applyFill="1"/>
    <xf numFmtId="0" fontId="0" fillId="3" borderId="0" xfId="0" applyFill="1"/>
    <xf numFmtId="164" fontId="0" fillId="3" borderId="0" xfId="0" applyNumberFormat="1" applyFill="1"/>
    <xf numFmtId="10" fontId="0" fillId="3" borderId="0" xfId="1" applyNumberFormat="1" applyFont="1" applyFill="1"/>
    <xf numFmtId="0" fontId="0" fillId="4" borderId="0" xfId="0" applyFill="1"/>
    <xf numFmtId="10" fontId="0" fillId="4" borderId="0" xfId="1" applyNumberFormat="1" applyFont="1" applyFill="1"/>
    <xf numFmtId="164" fontId="0" fillId="4" borderId="0" xfId="0" applyNumberFormat="1" applyFill="1"/>
    <xf numFmtId="164" fontId="0" fillId="0" borderId="0" xfId="0" applyNumberFormat="1"/>
    <xf numFmtId="0" fontId="2" fillId="0" borderId="0" xfId="0" applyFont="1" applyAlignment="1">
      <alignment horizontal="center" vertical="center" wrapText="1"/>
    </xf>
    <xf numFmtId="0" fontId="2" fillId="3" borderId="0" xfId="0" applyFont="1" applyFill="1" applyAlignment="1">
      <alignment horizontal="center" vertical="center" wrapText="1"/>
    </xf>
    <xf numFmtId="10" fontId="2" fillId="3" borderId="0" xfId="1"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164" fontId="2" fillId="0" borderId="0" xfId="0" applyNumberFormat="1" applyFont="1" applyAlignment="1">
      <alignment horizontal="center" vertical="center" wrapText="1"/>
    </xf>
    <xf numFmtId="0" fontId="2" fillId="4" borderId="0" xfId="0" applyFont="1" applyFill="1" applyAlignment="1">
      <alignment horizontal="center" vertical="center" wrapText="1"/>
    </xf>
    <xf numFmtId="10" fontId="2" fillId="4" borderId="0" xfId="1" applyNumberFormat="1" applyFont="1" applyFill="1" applyAlignment="1">
      <alignment horizontal="center" vertical="center" wrapText="1"/>
    </xf>
    <xf numFmtId="164" fontId="2" fillId="4" borderId="0" xfId="0" applyNumberFormat="1" applyFont="1" applyFill="1" applyAlignment="1">
      <alignment horizontal="center" vertical="center" wrapText="1"/>
    </xf>
    <xf numFmtId="0" fontId="0" fillId="0" borderId="0" xfId="0" applyAlignment="1">
      <alignment horizontal="right"/>
    </xf>
    <xf numFmtId="14" fontId="0" fillId="3" borderId="0" xfId="0" applyNumberFormat="1" applyFill="1" applyAlignment="1">
      <alignment horizontal="right"/>
    </xf>
    <xf numFmtId="0" fontId="0" fillId="3" borderId="0" xfId="0" applyFill="1" applyAlignment="1">
      <alignment horizontal="right"/>
    </xf>
    <xf numFmtId="164" fontId="0" fillId="3" borderId="0" xfId="0" applyNumberFormat="1" applyFill="1" applyAlignment="1">
      <alignment horizontal="right"/>
    </xf>
    <xf numFmtId="164" fontId="0" fillId="0" borderId="0" xfId="0" applyNumberFormat="1" applyAlignment="1">
      <alignment horizontal="right"/>
    </xf>
    <xf numFmtId="14" fontId="0" fillId="4" borderId="0" xfId="0" applyNumberFormat="1" applyFill="1" applyAlignment="1">
      <alignment horizontal="right"/>
    </xf>
    <xf numFmtId="0" fontId="0" fillId="4" borderId="0" xfId="0" applyFill="1" applyAlignment="1">
      <alignment horizontal="right"/>
    </xf>
    <xf numFmtId="10" fontId="0" fillId="4" borderId="0" xfId="1" applyNumberFormat="1" applyFont="1" applyFill="1" applyAlignment="1">
      <alignment horizontal="right"/>
    </xf>
    <xf numFmtId="164" fontId="0" fillId="4" borderId="0" xfId="0" applyNumberFormat="1" applyFill="1" applyAlignment="1">
      <alignment horizontal="right"/>
    </xf>
    <xf numFmtId="0" fontId="2" fillId="2" borderId="0" xfId="0" applyFont="1" applyFill="1" applyAlignment="1">
      <alignment horizontal="center" vertical="center" wrapText="1"/>
    </xf>
    <xf numFmtId="0" fontId="0" fillId="2" borderId="0" xfId="0" applyFill="1" applyAlignment="1">
      <alignment horizontal="right"/>
    </xf>
    <xf numFmtId="166" fontId="2" fillId="3" borderId="0" xfId="0" applyNumberFormat="1" applyFont="1" applyFill="1" applyAlignment="1">
      <alignment horizontal="center" vertical="center" wrapText="1"/>
    </xf>
    <xf numFmtId="166" fontId="0" fillId="3" borderId="0" xfId="0" applyNumberFormat="1" applyFill="1" applyAlignment="1">
      <alignment horizontal="right"/>
    </xf>
    <xf numFmtId="166" fontId="0" fillId="3" borderId="0" xfId="0" applyNumberFormat="1" applyFill="1"/>
    <xf numFmtId="167" fontId="2" fillId="0" borderId="0" xfId="0" applyNumberFormat="1" applyFont="1" applyAlignment="1">
      <alignment horizontal="center" vertical="center" wrapText="1"/>
    </xf>
    <xf numFmtId="167" fontId="0" fillId="0" borderId="0" xfId="0" applyNumberFormat="1" applyAlignment="1">
      <alignment horizontal="right"/>
    </xf>
    <xf numFmtId="167" fontId="0" fillId="0" borderId="0" xfId="0" applyNumberFormat="1"/>
    <xf numFmtId="166" fontId="2" fillId="0" borderId="0" xfId="0" applyNumberFormat="1" applyFont="1" applyAlignment="1">
      <alignment horizontal="center" vertical="center" wrapText="1"/>
    </xf>
    <xf numFmtId="166" fontId="0" fillId="0" borderId="0" xfId="0" applyNumberFormat="1" applyAlignment="1">
      <alignment horizontal="right"/>
    </xf>
    <xf numFmtId="166" fontId="0" fillId="0" borderId="0" xfId="0" applyNumberFormat="1"/>
    <xf numFmtId="168" fontId="2" fillId="0" borderId="0" xfId="0" applyNumberFormat="1" applyFont="1" applyAlignment="1">
      <alignment horizontal="center" vertical="center" wrapText="1"/>
    </xf>
    <xf numFmtId="168" fontId="0" fillId="0" borderId="0" xfId="0" applyNumberFormat="1" applyAlignment="1">
      <alignment horizontal="right"/>
    </xf>
    <xf numFmtId="168" fontId="0" fillId="0" borderId="0" xfId="0" applyNumberFormat="1"/>
    <xf numFmtId="166" fontId="2" fillId="4" borderId="0" xfId="0" applyNumberFormat="1" applyFont="1" applyFill="1" applyAlignment="1">
      <alignment horizontal="center" vertical="center" wrapText="1"/>
    </xf>
    <xf numFmtId="166" fontId="0" fillId="4" borderId="0" xfId="0" applyNumberFormat="1" applyFill="1" applyAlignment="1">
      <alignment horizontal="right"/>
    </xf>
    <xf numFmtId="166" fontId="0" fillId="4" borderId="0" xfId="0" applyNumberFormat="1" applyFill="1"/>
    <xf numFmtId="169" fontId="2" fillId="4" borderId="0" xfId="1" applyNumberFormat="1" applyFont="1" applyFill="1" applyAlignment="1">
      <alignment horizontal="center" vertical="center" wrapText="1"/>
    </xf>
    <xf numFmtId="169" fontId="0" fillId="4" borderId="0" xfId="1" applyNumberFormat="1" applyFont="1" applyFill="1" applyAlignment="1">
      <alignment horizontal="right"/>
    </xf>
    <xf numFmtId="169" fontId="0" fillId="4" borderId="0" xfId="1" applyNumberFormat="1" applyFont="1" applyFill="1"/>
    <xf numFmtId="0" fontId="3" fillId="0" borderId="0" xfId="2"/>
    <xf numFmtId="0" fontId="4" fillId="0" borderId="0" xfId="2" applyFont="1"/>
    <xf numFmtId="170" fontId="4" fillId="0" borderId="0" xfId="2" applyNumberFormat="1" applyFont="1"/>
    <xf numFmtId="170" fontId="3" fillId="0" borderId="0" xfId="2" applyNumberFormat="1"/>
    <xf numFmtId="0" fontId="4" fillId="5" borderId="0" xfId="2" applyFont="1" applyFill="1"/>
    <xf numFmtId="170" fontId="4" fillId="5" borderId="0" xfId="2" applyNumberFormat="1" applyFont="1" applyFill="1"/>
    <xf numFmtId="0" fontId="3" fillId="5" borderId="0" xfId="2" applyFill="1"/>
    <xf numFmtId="0" fontId="3" fillId="3" borderId="0" xfId="2" applyFill="1"/>
    <xf numFmtId="170" fontId="3" fillId="3" borderId="0" xfId="2" applyNumberFormat="1" applyFill="1"/>
    <xf numFmtId="165" fontId="2" fillId="2" borderId="0" xfId="1" applyNumberFormat="1" applyFont="1" applyFill="1" applyAlignment="1">
      <alignment horizontal="center" vertical="center" wrapText="1"/>
    </xf>
    <xf numFmtId="165" fontId="0" fillId="2" borderId="0" xfId="1" applyNumberFormat="1" applyFont="1" applyFill="1" applyAlignment="1">
      <alignment horizontal="right"/>
    </xf>
    <xf numFmtId="165" fontId="0" fillId="2" borderId="0" xfId="1" applyNumberFormat="1" applyFont="1" applyFill="1"/>
    <xf numFmtId="164" fontId="2" fillId="2" borderId="0" xfId="0" applyNumberFormat="1" applyFont="1" applyFill="1" applyAlignment="1">
      <alignment horizontal="center" vertical="center" wrapText="1"/>
    </xf>
    <xf numFmtId="164" fontId="0" fillId="2" borderId="0" xfId="0" applyNumberFormat="1" applyFill="1"/>
    <xf numFmtId="14" fontId="0" fillId="0" borderId="0" xfId="0" applyNumberFormat="1" applyAlignment="1">
      <alignment horizontal="right"/>
    </xf>
    <xf numFmtId="171" fontId="0" fillId="0" borderId="0" xfId="0" applyNumberFormat="1"/>
    <xf numFmtId="169" fontId="0" fillId="0" borderId="0" xfId="1" applyNumberFormat="1" applyFont="1"/>
    <xf numFmtId="171" fontId="2" fillId="0" borderId="0" xfId="0" applyNumberFormat="1" applyFont="1" applyAlignment="1">
      <alignment horizontal="center" vertical="center" wrapText="1"/>
    </xf>
    <xf numFmtId="0" fontId="2" fillId="5" borderId="0" xfId="0" applyFont="1" applyFill="1"/>
    <xf numFmtId="171" fontId="2" fillId="5" borderId="0" xfId="0" applyNumberFormat="1" applyFont="1" applyFill="1"/>
    <xf numFmtId="14" fontId="2" fillId="4" borderId="0" xfId="0" applyNumberFormat="1" applyFont="1" applyFill="1" applyAlignment="1">
      <alignment horizontal="center" vertical="center" wrapText="1"/>
    </xf>
    <xf numFmtId="14" fontId="0" fillId="4" borderId="0" xfId="0" applyNumberFormat="1" applyFill="1"/>
    <xf numFmtId="0" fontId="2" fillId="2" borderId="0" xfId="0" applyFont="1" applyFill="1" applyAlignment="1">
      <alignment horizontal="right" vertical="center" wrapText="1"/>
    </xf>
    <xf numFmtId="0" fontId="0" fillId="2" borderId="0" xfId="0" applyFill="1" applyAlignment="1">
      <alignment horizontal="right" wrapText="1"/>
    </xf>
    <xf numFmtId="14" fontId="0" fillId="0" borderId="0" xfId="0" applyNumberFormat="1"/>
    <xf numFmtId="172" fontId="0" fillId="0" borderId="0" xfId="0" applyNumberFormat="1"/>
    <xf numFmtId="173" fontId="0" fillId="0" borderId="0" xfId="0" applyNumberFormat="1" applyAlignment="1">
      <alignment horizontal="right"/>
    </xf>
    <xf numFmtId="174" fontId="0" fillId="0" borderId="0" xfId="0" applyNumberFormat="1" applyAlignment="1">
      <alignment horizontal="right"/>
    </xf>
    <xf numFmtId="44" fontId="0" fillId="0" borderId="0" xfId="0" applyNumberFormat="1" applyAlignment="1">
      <alignment horizontal="right"/>
    </xf>
    <xf numFmtId="10" fontId="2" fillId="0" borderId="0" xfId="1" applyNumberFormat="1" applyFont="1" applyFill="1" applyAlignment="1">
      <alignment horizontal="center" vertical="center" wrapText="1"/>
    </xf>
    <xf numFmtId="10" fontId="0" fillId="0" borderId="0" xfId="1" applyNumberFormat="1" applyFont="1" applyFill="1" applyAlignment="1">
      <alignment horizontal="right"/>
    </xf>
    <xf numFmtId="10" fontId="0" fillId="0" borderId="0" xfId="1" applyNumberFormat="1" applyFont="1" applyFill="1"/>
    <xf numFmtId="175" fontId="2" fillId="0" borderId="0" xfId="0" applyNumberFormat="1" applyFont="1" applyAlignment="1">
      <alignment horizontal="center" vertical="center" wrapText="1"/>
    </xf>
    <xf numFmtId="175" fontId="0" fillId="0" borderId="0" xfId="0" applyNumberFormat="1"/>
    <xf numFmtId="175" fontId="0" fillId="0" borderId="0" xfId="0" applyNumberFormat="1" applyAlignment="1">
      <alignment horizontal="right"/>
    </xf>
    <xf numFmtId="176" fontId="0" fillId="0" borderId="0" xfId="0" applyNumberFormat="1"/>
    <xf numFmtId="0" fontId="5" fillId="0" borderId="0" xfId="0" applyFont="1"/>
    <xf numFmtId="173" fontId="0" fillId="0" borderId="0" xfId="0" applyNumberFormat="1"/>
    <xf numFmtId="177" fontId="2" fillId="2" borderId="0" xfId="0" applyNumberFormat="1" applyFont="1" applyFill="1" applyAlignment="1">
      <alignment horizontal="center" vertical="center" wrapText="1"/>
    </xf>
    <xf numFmtId="177" fontId="0" fillId="2" borderId="0" xfId="0" applyNumberFormat="1" applyFill="1" applyAlignment="1">
      <alignment horizontal="right"/>
    </xf>
    <xf numFmtId="177" fontId="0" fillId="2" borderId="0" xfId="0" applyNumberFormat="1" applyFill="1"/>
    <xf numFmtId="10" fontId="2" fillId="2" borderId="0" xfId="0" applyNumberFormat="1" applyFont="1" applyFill="1" applyAlignment="1">
      <alignment horizontal="center" vertical="center" wrapText="1"/>
    </xf>
    <xf numFmtId="10" fontId="0" fillId="2" borderId="0" xfId="0" applyNumberFormat="1" applyFill="1" applyAlignment="1">
      <alignment horizontal="right"/>
    </xf>
    <xf numFmtId="10" fontId="0" fillId="2" borderId="0" xfId="0" applyNumberFormat="1" applyFill="1"/>
    <xf numFmtId="178" fontId="0" fillId="0" borderId="0" xfId="0" applyNumberFormat="1"/>
    <xf numFmtId="179" fontId="0" fillId="0" borderId="0" xfId="0" applyNumberFormat="1"/>
    <xf numFmtId="2" fontId="2" fillId="2" borderId="0" xfId="0" applyNumberFormat="1" applyFont="1" applyFill="1" applyAlignment="1">
      <alignment horizontal="center" vertical="center" wrapText="1"/>
    </xf>
    <xf numFmtId="2" fontId="0" fillId="2" borderId="0" xfId="0" applyNumberFormat="1" applyFill="1" applyAlignment="1">
      <alignment horizontal="right"/>
    </xf>
    <xf numFmtId="2" fontId="0" fillId="2" borderId="0" xfId="0" applyNumberFormat="1" applyFill="1"/>
  </cellXfs>
  <cellStyles count="3">
    <cellStyle name="Normal" xfId="0" builtinId="0"/>
    <cellStyle name="Normal 2" xfId="2" xr:uid="{2721C872-9B59-47CC-A537-3EE062C2C435}"/>
    <cellStyle name="Per cent" xfId="1" builtinId="5"/>
  </cellStyles>
  <dxfs count="10">
    <dxf>
      <font>
        <color rgb="FF006100"/>
      </font>
      <fill>
        <patternFill>
          <bgColor rgb="FFC6EFCE"/>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t-IT"/>
        </a:p>
      </c:txPr>
    </c:title>
    <c:autoTitleDeleted val="0"/>
    <c:plotArea>
      <c:layout>
        <c:manualLayout>
          <c:layoutTarget val="inner"/>
          <c:xMode val="edge"/>
          <c:yMode val="edge"/>
          <c:x val="0.12294119485064368"/>
          <c:y val="0.2193441965587635"/>
          <c:w val="0.61919697537807772"/>
          <c:h val="0.72239647127442408"/>
        </c:manualLayout>
      </c:layout>
      <c:pieChart>
        <c:varyColors val="1"/>
        <c:ser>
          <c:idx val="0"/>
          <c:order val="0"/>
          <c:tx>
            <c:strRef>
              <c:f>'Per stock'!$D$2</c:f>
              <c:strCache>
                <c:ptCount val="1"/>
                <c:pt idx="0">
                  <c:v>Valore totale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54-4151-B9B4-8160AC766E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54-4151-B9B4-8160AC766E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54-4151-B9B4-8160AC766EB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254-4151-B9B4-8160AC766EB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254-4151-B9B4-8160AC766EB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254-4151-B9B4-8160AC766EB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E1A-4443-918A-051873751AA0}"/>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E1A-4443-918A-051873751AA0}"/>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E1A-4443-918A-051873751AA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E1A-4443-918A-051873751AA0}"/>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E1A-4443-918A-051873751AA0}"/>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E1A-4443-918A-051873751AA0}"/>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E1A-4443-918A-051873751AA0}"/>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E1A-4443-918A-051873751AA0}"/>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E1A-4443-918A-051873751AA0}"/>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E1A-4443-918A-051873751AA0}"/>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E1A-4443-918A-051873751AA0}"/>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E1A-4443-918A-051873751AA0}"/>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E1A-4443-918A-051873751AA0}"/>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7E1A-4443-918A-051873751AA0}"/>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7E1A-4443-918A-051873751AA0}"/>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7E1A-4443-918A-051873751AA0}"/>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7E1A-4443-918A-051873751AA0}"/>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7E1A-4443-918A-051873751AA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 stock'!$A$3:$A$26</c:f>
              <c:strCache>
                <c:ptCount val="24"/>
                <c:pt idx="0">
                  <c:v>CNH Industrial</c:v>
                </c:pt>
                <c:pt idx="1">
                  <c:v>Unicredit</c:v>
                </c:pt>
                <c:pt idx="2">
                  <c:v>Poste Italiane</c:v>
                </c:pt>
                <c:pt idx="3">
                  <c:v>STMicroElectronics</c:v>
                </c:pt>
                <c:pt idx="4">
                  <c:v>Intesa San Paolo</c:v>
                </c:pt>
                <c:pt idx="5">
                  <c:v>Leonardo</c:v>
                </c:pt>
                <c:pt idx="6">
                  <c:v>Enel</c:v>
                </c:pt>
                <c:pt idx="7">
                  <c:v>Eni</c:v>
                </c:pt>
                <c:pt idx="8">
                  <c:v>Apple</c:v>
                </c:pt>
                <c:pt idx="9">
                  <c:v>Amazon</c:v>
                </c:pt>
                <c:pt idx="10">
                  <c:v>Microsoft</c:v>
                </c:pt>
                <c:pt idx="11">
                  <c:v>iShares Core MSCI World UCITS ETF USD (Acc)</c:v>
                </c:pt>
                <c:pt idx="12">
                  <c:v>Vanguard FTSE Emerging Markets UCITS ETF (USD) Dis</c:v>
                </c:pt>
                <c:pt idx="13">
                  <c:v>iShares Global Clean Energy UCITS ETF USD (Dist)</c:v>
                </c:pt>
                <c:pt idx="14">
                  <c:v>iShares Core S&amp;P 500 UCITS ETF USD (Dist)</c:v>
                </c:pt>
                <c:pt idx="15">
                  <c:v>Amundi MSCI Semiconductors ESG Screened UCITS ETF Acc</c:v>
                </c:pt>
                <c:pt idx="16">
                  <c:v>Xtrackers Artif. Int. and Big Data UCITS ETF 1C</c:v>
                </c:pt>
                <c:pt idx="17">
                  <c:v>iShares Core MSCI Europe UCITS ETF EUR (Acc)</c:v>
                </c:pt>
                <c:pt idx="18">
                  <c:v>Vanguard FTSE All-World UCITS ETF (USD) Acc</c:v>
                </c:pt>
                <c:pt idx="19">
                  <c:v>BTP-VAL 13GN27SU CUM</c:v>
                </c:pt>
                <c:pt idx="20">
                  <c:v>USA-15FB26 6</c:v>
                </c:pt>
                <c:pt idx="21">
                  <c:v>BTP-1OT53 4,5</c:v>
                </c:pt>
                <c:pt idx="22">
                  <c:v>BTP-29ST25 3,60</c:v>
                </c:pt>
                <c:pt idx="23">
                  <c:v>USA-15MG25 2,125</c:v>
                </c:pt>
              </c:strCache>
            </c:strRef>
          </c:cat>
          <c:val>
            <c:numRef>
              <c:f>'Per stock'!$D$3:$D$26</c:f>
              <c:numCache>
                <c:formatCode>#,##0\ [$€-410]</c:formatCode>
                <c:ptCount val="24"/>
                <c:pt idx="0">
                  <c:v>0</c:v>
                </c:pt>
                <c:pt idx="1">
                  <c:v>0</c:v>
                </c:pt>
                <c:pt idx="2">
                  <c:v>0</c:v>
                </c:pt>
                <c:pt idx="3">
                  <c:v>0</c:v>
                </c:pt>
                <c:pt idx="4">
                  <c:v>0</c:v>
                </c:pt>
                <c:pt idx="5">
                  <c:v>0</c:v>
                </c:pt>
                <c:pt idx="6">
                  <c:v>429.11200074632188</c:v>
                </c:pt>
                <c:pt idx="7">
                  <c:v>479.55000083341611</c:v>
                </c:pt>
                <c:pt idx="8">
                  <c:v>536.78804246599998</c:v>
                </c:pt>
                <c:pt idx="9">
                  <c:v>0</c:v>
                </c:pt>
                <c:pt idx="10">
                  <c:v>36624.481432049994</c:v>
                </c:pt>
                <c:pt idx="11">
                  <c:v>1602.380003031564</c:v>
                </c:pt>
                <c:pt idx="12">
                  <c:v>0</c:v>
                </c:pt>
                <c:pt idx="13">
                  <c:v>0</c:v>
                </c:pt>
                <c:pt idx="14">
                  <c:v>0</c:v>
                </c:pt>
                <c:pt idx="15">
                  <c:v>0</c:v>
                </c:pt>
                <c:pt idx="16">
                  <c:v>0</c:v>
                </c:pt>
                <c:pt idx="17">
                  <c:v>1422.9600026921166</c:v>
                </c:pt>
                <c:pt idx="18">
                  <c:v>52019.200098415815</c:v>
                </c:pt>
                <c:pt idx="19">
                  <c:v>10743.750018919131</c:v>
                </c:pt>
                <c:pt idx="20">
                  <c:v>0</c:v>
                </c:pt>
                <c:pt idx="21">
                  <c:v>5590.6250094595653</c:v>
                </c:pt>
                <c:pt idx="22">
                  <c:v>0</c:v>
                </c:pt>
                <c:pt idx="23">
                  <c:v>0</c:v>
                </c:pt>
              </c:numCache>
            </c:numRef>
          </c:val>
          <c:extLst>
            <c:ext xmlns:c16="http://schemas.microsoft.com/office/drawing/2014/chart" uri="{C3380CC4-5D6E-409C-BE32-E72D297353CC}">
              <c16:uniqueId val="{0000000C-7254-4151-B9B4-8160AC766E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4353741496598633E-2"/>
          <c:y val="6.9991014636683946E-2"/>
          <c:w val="0.83673469387755095"/>
          <c:h val="0.3121830886004113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stock'!$S$2</c:f>
              <c:strCache>
                <c:ptCount val="1"/>
                <c:pt idx="0">
                  <c:v>Plusvalenza</c:v>
                </c:pt>
              </c:strCache>
            </c:strRef>
          </c:tx>
          <c:spPr>
            <a:solidFill>
              <a:schemeClr val="accent1"/>
            </a:solidFill>
            <a:ln>
              <a:noFill/>
            </a:ln>
            <a:effectLst/>
          </c:spPr>
          <c:invertIfNegative val="0"/>
          <c:cat>
            <c:strRef>
              <c:f>'Per stock'!$P$3:$P$26</c:f>
              <c:strCache>
                <c:ptCount val="24"/>
                <c:pt idx="0">
                  <c:v>CNH Industrial</c:v>
                </c:pt>
                <c:pt idx="1">
                  <c:v>Unicredit</c:v>
                </c:pt>
                <c:pt idx="2">
                  <c:v>Poste Italiane</c:v>
                </c:pt>
                <c:pt idx="3">
                  <c:v>STMicroElectronics</c:v>
                </c:pt>
                <c:pt idx="4">
                  <c:v>Intesa San Paolo</c:v>
                </c:pt>
                <c:pt idx="5">
                  <c:v>Leonardo</c:v>
                </c:pt>
                <c:pt idx="6">
                  <c:v>Enel</c:v>
                </c:pt>
                <c:pt idx="7">
                  <c:v>Eni</c:v>
                </c:pt>
                <c:pt idx="8">
                  <c:v>Apple</c:v>
                </c:pt>
                <c:pt idx="9">
                  <c:v>Amazon</c:v>
                </c:pt>
                <c:pt idx="10">
                  <c:v>Microsoft</c:v>
                </c:pt>
                <c:pt idx="11">
                  <c:v>iShares Core MSCI World UCITS ETF USD (Acc)</c:v>
                </c:pt>
                <c:pt idx="12">
                  <c:v>Vanguard FTSE Emerging Markets UCITS ETF (USD) Dis</c:v>
                </c:pt>
                <c:pt idx="13">
                  <c:v>iShares Global Clean Energy UCITS ETF USD (Dist)</c:v>
                </c:pt>
                <c:pt idx="14">
                  <c:v>iShares Core S&amp;P 500 UCITS ETF USD (Dist)</c:v>
                </c:pt>
                <c:pt idx="15">
                  <c:v>Amundi MSCI Semiconductors ESG Screened UCITS ETF Acc</c:v>
                </c:pt>
                <c:pt idx="16">
                  <c:v>Xtrackers Artif. Int. and Big Data UCITS ETF 1C</c:v>
                </c:pt>
                <c:pt idx="17">
                  <c:v>iShares Core MSCI Europe UCITS ETF EUR (Acc)</c:v>
                </c:pt>
                <c:pt idx="18">
                  <c:v>Vanguard FTSE All-World UCITS ETF (USD) Acc</c:v>
                </c:pt>
                <c:pt idx="19">
                  <c:v>BTP-VAL 13GN27SU CUM</c:v>
                </c:pt>
                <c:pt idx="20">
                  <c:v>USA-15FB26 6</c:v>
                </c:pt>
                <c:pt idx="21">
                  <c:v>BTP-1OT53 4,5</c:v>
                </c:pt>
                <c:pt idx="22">
                  <c:v>BTP-29ST25 3,60</c:v>
                </c:pt>
                <c:pt idx="23">
                  <c:v>USA-15MG25 2,125</c:v>
                </c:pt>
              </c:strCache>
            </c:strRef>
          </c:cat>
          <c:val>
            <c:numRef>
              <c:f>'Per stock'!$S$3:$S$26</c:f>
              <c:numCache>
                <c:formatCode>#,##0\ [$€-410]</c:formatCode>
                <c:ptCount val="24"/>
                <c:pt idx="0">
                  <c:v>-82.342399999999969</c:v>
                </c:pt>
                <c:pt idx="1">
                  <c:v>267.66680000000008</c:v>
                </c:pt>
                <c:pt idx="2">
                  <c:v>288.88740000000001</c:v>
                </c:pt>
                <c:pt idx="3">
                  <c:v>-93.600799999999992</c:v>
                </c:pt>
                <c:pt idx="4">
                  <c:v>299.63799999999998</c:v>
                </c:pt>
                <c:pt idx="5">
                  <c:v>255.56</c:v>
                </c:pt>
                <c:pt idx="6">
                  <c:v>0</c:v>
                </c:pt>
                <c:pt idx="7">
                  <c:v>0</c:v>
                </c:pt>
                <c:pt idx="8">
                  <c:v>0</c:v>
                </c:pt>
                <c:pt idx="9">
                  <c:v>165.42908951302002</c:v>
                </c:pt>
                <c:pt idx="10">
                  <c:v>4283.9124680000004</c:v>
                </c:pt>
                <c:pt idx="11">
                  <c:v>0</c:v>
                </c:pt>
                <c:pt idx="12">
                  <c:v>145.5379999999999</c:v>
                </c:pt>
                <c:pt idx="13">
                  <c:v>-116.26708319999995</c:v>
                </c:pt>
                <c:pt idx="14">
                  <c:v>457.25279999999998</c:v>
                </c:pt>
                <c:pt idx="15">
                  <c:v>568.84999999999991</c:v>
                </c:pt>
                <c:pt idx="16">
                  <c:v>634.29999999999973</c:v>
                </c:pt>
                <c:pt idx="17">
                  <c:v>0</c:v>
                </c:pt>
                <c:pt idx="18">
                  <c:v>0</c:v>
                </c:pt>
                <c:pt idx="19">
                  <c:v>0</c:v>
                </c:pt>
                <c:pt idx="20">
                  <c:v>161.8383855000011</c:v>
                </c:pt>
                <c:pt idx="21">
                  <c:v>0</c:v>
                </c:pt>
                <c:pt idx="22">
                  <c:v>320.99844999999914</c:v>
                </c:pt>
                <c:pt idx="23">
                  <c:v>196.73275463388472</c:v>
                </c:pt>
              </c:numCache>
            </c:numRef>
          </c:val>
          <c:extLst>
            <c:ext xmlns:c16="http://schemas.microsoft.com/office/drawing/2014/chart" uri="{C3380CC4-5D6E-409C-BE32-E72D297353CC}">
              <c16:uniqueId val="{00000000-33F0-443F-A13D-3A49CBA1CC4A}"/>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 [$€-41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it-IT"/>
        </a:p>
      </c:txPr>
    </c:title>
    <c:autoTitleDeleted val="0"/>
    <c:plotArea>
      <c:layout>
        <c:manualLayout>
          <c:layoutTarget val="inner"/>
          <c:xMode val="edge"/>
          <c:yMode val="edge"/>
          <c:x val="0.24121847874191021"/>
          <c:y val="0.11745435638729532"/>
          <c:w val="0.52496680819738939"/>
          <c:h val="0.40470408702910959"/>
        </c:manualLayout>
      </c:layout>
      <c:pieChart>
        <c:varyColors val="1"/>
        <c:ser>
          <c:idx val="0"/>
          <c:order val="0"/>
          <c:tx>
            <c:strRef>
              <c:f>'Per stock'!$R$2</c:f>
              <c:strCache>
                <c:ptCount val="1"/>
                <c:pt idx="0">
                  <c:v>Ricavo totale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E8-4391-8EB6-3C1FF9B20B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E8-4391-8EB6-3C1FF9B20B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E8-4391-8EB6-3C1FF9B20B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4E8-4391-8EB6-3C1FF9B20B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4E8-4391-8EB6-3C1FF9B20BB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4E8-4391-8EB6-3C1FF9B20BB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584-49DB-B335-F66FB33ACBC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584-49DB-B335-F66FB33ACBC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584-49DB-B335-F66FB33ACBC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584-49DB-B335-F66FB33ACBC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584-49DB-B335-F66FB33ACBC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584-49DB-B335-F66FB33ACBC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C584-49DB-B335-F66FB33ACBC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C584-49DB-B335-F66FB33ACBC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C584-49DB-B335-F66FB33ACBC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C584-49DB-B335-F66FB33ACBC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C584-49DB-B335-F66FB33ACBC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C584-49DB-B335-F66FB33ACBC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C584-49DB-B335-F66FB33ACBC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C584-49DB-B335-F66FB33ACBC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C584-49DB-B335-F66FB33ACBC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C584-49DB-B335-F66FB33ACBC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C584-49DB-B335-F66FB33ACBC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C584-49DB-B335-F66FB33ACBC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it-IT"/>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 stock'!$P$3:$P$26</c:f>
              <c:strCache>
                <c:ptCount val="24"/>
                <c:pt idx="0">
                  <c:v>CNH Industrial</c:v>
                </c:pt>
                <c:pt idx="1">
                  <c:v>Unicredit</c:v>
                </c:pt>
                <c:pt idx="2">
                  <c:v>Poste Italiane</c:v>
                </c:pt>
                <c:pt idx="3">
                  <c:v>STMicroElectronics</c:v>
                </c:pt>
                <c:pt idx="4">
                  <c:v>Intesa San Paolo</c:v>
                </c:pt>
                <c:pt idx="5">
                  <c:v>Leonardo</c:v>
                </c:pt>
                <c:pt idx="6">
                  <c:v>Enel</c:v>
                </c:pt>
                <c:pt idx="7">
                  <c:v>Eni</c:v>
                </c:pt>
                <c:pt idx="8">
                  <c:v>Apple</c:v>
                </c:pt>
                <c:pt idx="9">
                  <c:v>Amazon</c:v>
                </c:pt>
                <c:pt idx="10">
                  <c:v>Microsoft</c:v>
                </c:pt>
                <c:pt idx="11">
                  <c:v>iShares Core MSCI World UCITS ETF USD (Acc)</c:v>
                </c:pt>
                <c:pt idx="12">
                  <c:v>Vanguard FTSE Emerging Markets UCITS ETF (USD) Dis</c:v>
                </c:pt>
                <c:pt idx="13">
                  <c:v>iShares Global Clean Energy UCITS ETF USD (Dist)</c:v>
                </c:pt>
                <c:pt idx="14">
                  <c:v>iShares Core S&amp;P 500 UCITS ETF USD (Dist)</c:v>
                </c:pt>
                <c:pt idx="15">
                  <c:v>Amundi MSCI Semiconductors ESG Screened UCITS ETF Acc</c:v>
                </c:pt>
                <c:pt idx="16">
                  <c:v>Xtrackers Artif. Int. and Big Data UCITS ETF 1C</c:v>
                </c:pt>
                <c:pt idx="17">
                  <c:v>iShares Core MSCI Europe UCITS ETF EUR (Acc)</c:v>
                </c:pt>
                <c:pt idx="18">
                  <c:v>Vanguard FTSE All-World UCITS ETF (USD) Acc</c:v>
                </c:pt>
                <c:pt idx="19">
                  <c:v>BTP-VAL 13GN27SU CUM</c:v>
                </c:pt>
                <c:pt idx="20">
                  <c:v>USA-15FB26 6</c:v>
                </c:pt>
                <c:pt idx="21">
                  <c:v>BTP-1OT53 4,5</c:v>
                </c:pt>
                <c:pt idx="22">
                  <c:v>BTP-29ST25 3,60</c:v>
                </c:pt>
                <c:pt idx="23">
                  <c:v>USA-15MG25 2,125</c:v>
                </c:pt>
              </c:strCache>
            </c:strRef>
          </c:cat>
          <c:val>
            <c:numRef>
              <c:f>'Per stock'!$R$3:$R$26</c:f>
              <c:numCache>
                <c:formatCode>#,##0\ [$€-410]</c:formatCode>
                <c:ptCount val="24"/>
                <c:pt idx="0">
                  <c:v>167.19160000000002</c:v>
                </c:pt>
                <c:pt idx="1">
                  <c:v>514.26480000000004</c:v>
                </c:pt>
                <c:pt idx="2">
                  <c:v>545.8374</c:v>
                </c:pt>
                <c:pt idx="3">
                  <c:v>136.84920000000002</c:v>
                </c:pt>
                <c:pt idx="4">
                  <c:v>555.08799999999997</c:v>
                </c:pt>
                <c:pt idx="5">
                  <c:v>500</c:v>
                </c:pt>
                <c:pt idx="6">
                  <c:v>0</c:v>
                </c:pt>
                <c:pt idx="7">
                  <c:v>0</c:v>
                </c:pt>
                <c:pt idx="8">
                  <c:v>0</c:v>
                </c:pt>
                <c:pt idx="9">
                  <c:v>383.21194575999999</c:v>
                </c:pt>
                <c:pt idx="10">
                  <c:v>7747.5124680000008</c:v>
                </c:pt>
                <c:pt idx="11">
                  <c:v>0</c:v>
                </c:pt>
                <c:pt idx="12">
                  <c:v>661.58799999999997</c:v>
                </c:pt>
                <c:pt idx="13">
                  <c:v>368.43291680000004</c:v>
                </c:pt>
                <c:pt idx="14">
                  <c:v>1479.9528</c:v>
                </c:pt>
                <c:pt idx="15">
                  <c:v>1137.05</c:v>
                </c:pt>
                <c:pt idx="16">
                  <c:v>1159.2499999999998</c:v>
                </c:pt>
                <c:pt idx="17">
                  <c:v>0</c:v>
                </c:pt>
                <c:pt idx="18">
                  <c:v>0</c:v>
                </c:pt>
                <c:pt idx="19">
                  <c:v>0</c:v>
                </c:pt>
                <c:pt idx="20">
                  <c:v>4929.0532262500001</c:v>
                </c:pt>
                <c:pt idx="21">
                  <c:v>0</c:v>
                </c:pt>
                <c:pt idx="22">
                  <c:v>5342.3874999999998</c:v>
                </c:pt>
                <c:pt idx="23">
                  <c:v>4641.3001866338846</c:v>
                </c:pt>
              </c:numCache>
            </c:numRef>
          </c:val>
          <c:extLst>
            <c:ext xmlns:c16="http://schemas.microsoft.com/office/drawing/2014/chart" uri="{C3380CC4-5D6E-409C-BE32-E72D297353CC}">
              <c16:uniqueId val="{0000000C-84E8-4391-8EB6-3C1FF9B20BB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6533715422467016"/>
          <c:y val="0.56710660260621437"/>
          <c:w val="0.71446251188551346"/>
          <c:h val="0.432657210732819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2294119485064368"/>
          <c:y val="0.2193441965587635"/>
          <c:w val="0.61919697537807772"/>
          <c:h val="0.72239647127442408"/>
        </c:manualLayout>
      </c:layout>
      <c:pieChart>
        <c:varyColors val="1"/>
        <c:ser>
          <c:idx val="0"/>
          <c:order val="0"/>
          <c:tx>
            <c:strRef>
              <c:f>'Per tipo'!$C$2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B4-417D-843D-4FE44A927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B4-417D-843D-4FE44A9274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B4-417D-843D-4FE44A9274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B4-417D-843D-4FE44A9274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B4-417D-843D-4FE44A9274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B4-417D-843D-4FE44A92741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tipo'!$A$3:$A$8</c:f>
              <c:strCache>
                <c:ptCount val="6"/>
                <c:pt idx="0">
                  <c:v>ETF</c:v>
                </c:pt>
                <c:pt idx="1">
                  <c:v>A</c:v>
                </c:pt>
                <c:pt idx="2">
                  <c:v>O</c:v>
                </c:pt>
                <c:pt idx="3">
                  <c:v>CC</c:v>
                </c:pt>
                <c:pt idx="4">
                  <c:v>CD</c:v>
                </c:pt>
                <c:pt idx="5">
                  <c:v>CR</c:v>
                </c:pt>
              </c:strCache>
            </c:strRef>
          </c:cat>
          <c:val>
            <c:numRef>
              <c:f>'Per tipo'!$C$3:$C$8</c:f>
              <c:numCache>
                <c:formatCode>#,##0\ [$€-410]</c:formatCode>
                <c:ptCount val="6"/>
                <c:pt idx="0">
                  <c:v>143874.4434719834</c:v>
                </c:pt>
                <c:pt idx="1">
                  <c:v>38069.931476095735</c:v>
                </c:pt>
                <c:pt idx="2">
                  <c:v>44097.95257946034</c:v>
                </c:pt>
                <c:pt idx="3">
                  <c:v>0</c:v>
                </c:pt>
                <c:pt idx="4">
                  <c:v>0</c:v>
                </c:pt>
                <c:pt idx="5">
                  <c:v>0</c:v>
                </c:pt>
              </c:numCache>
            </c:numRef>
          </c:val>
          <c:extLst>
            <c:ext xmlns:c16="http://schemas.microsoft.com/office/drawing/2014/chart" uri="{C3380CC4-5D6E-409C-BE32-E72D297353CC}">
              <c16:uniqueId val="{00000000-BD2A-4751-9409-64CB5390CF1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9596144231971"/>
          <c:y val="0.39677930883639545"/>
          <c:w val="0.15807680289963758"/>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tipo'!$S$2</c:f>
              <c:strCache>
                <c:ptCount val="1"/>
                <c:pt idx="0">
                  <c:v>Rendimento medio</c:v>
                </c:pt>
              </c:strCache>
            </c:strRef>
          </c:tx>
          <c:spPr>
            <a:solidFill>
              <a:schemeClr val="accent1"/>
            </a:solidFill>
            <a:ln>
              <a:noFill/>
            </a:ln>
            <a:effectLst/>
          </c:spPr>
          <c:invertIfNegative val="0"/>
          <c:cat>
            <c:strRef>
              <c:f>'Per tipo'!$O$3:$O$8</c:f>
              <c:strCache>
                <c:ptCount val="6"/>
                <c:pt idx="0">
                  <c:v>ETF</c:v>
                </c:pt>
                <c:pt idx="1">
                  <c:v>A</c:v>
                </c:pt>
                <c:pt idx="2">
                  <c:v>O</c:v>
                </c:pt>
                <c:pt idx="3">
                  <c:v>CC</c:v>
                </c:pt>
                <c:pt idx="4">
                  <c:v>CD</c:v>
                </c:pt>
                <c:pt idx="5">
                  <c:v>CR</c:v>
                </c:pt>
              </c:strCache>
            </c:strRef>
          </c:cat>
          <c:val>
            <c:numRef>
              <c:f>'Per tipo'!$S$3:$S$8</c:f>
              <c:numCache>
                <c:formatCode>\+0%;\-0%</c:formatCode>
                <c:ptCount val="6"/>
                <c:pt idx="0">
                  <c:v>0.54215289636141939</c:v>
                </c:pt>
                <c:pt idx="1">
                  <c:v>1.0426629286873299</c:v>
                </c:pt>
                <c:pt idx="2">
                  <c:v>4.7756021426608015E-2</c:v>
                </c:pt>
                <c:pt idx="3">
                  <c:v>0</c:v>
                </c:pt>
                <c:pt idx="4">
                  <c:v>0</c:v>
                </c:pt>
                <c:pt idx="5">
                  <c:v>0</c:v>
                </c:pt>
              </c:numCache>
            </c:numRef>
          </c:val>
          <c:extLst>
            <c:ext xmlns:c16="http://schemas.microsoft.com/office/drawing/2014/chart" uri="{C3380CC4-5D6E-409C-BE32-E72D297353CC}">
              <c16:uniqueId val="{00000000-99A0-4168-B808-172494CB34CE}"/>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5663306237663691"/>
          <c:y val="0.21337962962962964"/>
          <c:w val="0.55835581955764302"/>
          <c:h val="0.6630475357247011"/>
        </c:manualLayout>
      </c:layout>
      <c:pieChart>
        <c:varyColors val="1"/>
        <c:ser>
          <c:idx val="0"/>
          <c:order val="0"/>
          <c:tx>
            <c:strRef>
              <c:f>'Per tipo'!$R$2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86-48CD-9170-DDF59BD9D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86-48CD-9170-DDF59BD9D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86-48CD-9170-DDF59BD9D6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86-48CD-9170-DDF59BD9D6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86-48CD-9170-DDF59BD9D6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86-48CD-9170-DDF59BD9D67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tipo'!$O$3:$O$8</c:f>
              <c:strCache>
                <c:ptCount val="6"/>
                <c:pt idx="0">
                  <c:v>ETF</c:v>
                </c:pt>
                <c:pt idx="1">
                  <c:v>A</c:v>
                </c:pt>
                <c:pt idx="2">
                  <c:v>O</c:v>
                </c:pt>
                <c:pt idx="3">
                  <c:v>CC</c:v>
                </c:pt>
                <c:pt idx="4">
                  <c:v>CD</c:v>
                </c:pt>
                <c:pt idx="5">
                  <c:v>CR</c:v>
                </c:pt>
              </c:strCache>
            </c:strRef>
          </c:cat>
          <c:val>
            <c:numRef>
              <c:f>'Per tipo'!$R$3:$R$8</c:f>
              <c:numCache>
                <c:formatCode>#,##0\ [$€-410]</c:formatCode>
                <c:ptCount val="6"/>
                <c:pt idx="0">
                  <c:v>1689.6737168</c:v>
                </c:pt>
                <c:pt idx="1">
                  <c:v>5385.1505575130204</c:v>
                </c:pt>
                <c:pt idx="2">
                  <c:v>775.72834013388456</c:v>
                </c:pt>
                <c:pt idx="3">
                  <c:v>0</c:v>
                </c:pt>
                <c:pt idx="4">
                  <c:v>0</c:v>
                </c:pt>
                <c:pt idx="5">
                  <c:v>0</c:v>
                </c:pt>
              </c:numCache>
            </c:numRef>
          </c:val>
          <c:extLst>
            <c:ext xmlns:c16="http://schemas.microsoft.com/office/drawing/2014/chart" uri="{C3380CC4-5D6E-409C-BE32-E72D297353CC}">
              <c16:uniqueId val="{00000000-A9AA-477F-A52C-D0B53D10D6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7680766220011972"/>
          <c:y val="0.29687445319335076"/>
          <c:w val="0.16652699114365091"/>
          <c:h val="0.4392366579177601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classe'!$C$2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F5-4A39-8BA8-29F9F86AF9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F5-4A39-8BA8-29F9F86AF9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F5-4A39-8BA8-29F9F86AF9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47-4D51-9278-9298E40089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47-4D51-9278-9298E40089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47-4D51-9278-9298E40089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36-463C-A266-D845C2B8E50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classe'!$A$3:$A$9</c:f>
              <c:strCache>
                <c:ptCount val="4"/>
                <c:pt idx="0">
                  <c:v>Azioni</c:v>
                </c:pt>
                <c:pt idx="1">
                  <c:v>Obblig</c:v>
                </c:pt>
                <c:pt idx="2">
                  <c:v>Oro</c:v>
                </c:pt>
                <c:pt idx="3">
                  <c:v>Liquidi</c:v>
                </c:pt>
              </c:strCache>
            </c:strRef>
          </c:cat>
          <c:val>
            <c:numRef>
              <c:f>'Per classe'!$C$3:$C$9</c:f>
              <c:numCache>
                <c:formatCode>#,##0\ [$€-410]</c:formatCode>
                <c:ptCount val="7"/>
                <c:pt idx="0">
                  <c:v>115362.39162232632</c:v>
                </c:pt>
                <c:pt idx="1">
                  <c:v>105086.73589463127</c:v>
                </c:pt>
                <c:pt idx="2">
                  <c:v>5593.2000105818479</c:v>
                </c:pt>
                <c:pt idx="3">
                  <c:v>0</c:v>
                </c:pt>
              </c:numCache>
            </c:numRef>
          </c:val>
          <c:extLst>
            <c:ext xmlns:c16="http://schemas.microsoft.com/office/drawing/2014/chart" uri="{C3380CC4-5D6E-409C-BE32-E72D297353CC}">
              <c16:uniqueId val="{00000006-04F5-4A39-8BA8-29F9F86AF9B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39677930883639545"/>
          <c:w val="0.23990168290547451"/>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classe'!$S$2</c:f>
              <c:strCache>
                <c:ptCount val="1"/>
                <c:pt idx="0">
                  <c:v>Rendimento medio</c:v>
                </c:pt>
              </c:strCache>
            </c:strRef>
          </c:tx>
          <c:spPr>
            <a:solidFill>
              <a:schemeClr val="accent1"/>
            </a:solidFill>
            <a:ln>
              <a:noFill/>
            </a:ln>
            <a:effectLst/>
          </c:spPr>
          <c:invertIfNegative val="0"/>
          <c:cat>
            <c:strRef>
              <c:f>'Per classe'!$O$3:$O$9</c:f>
              <c:strCache>
                <c:ptCount val="4"/>
                <c:pt idx="0">
                  <c:v>Azioni</c:v>
                </c:pt>
                <c:pt idx="1">
                  <c:v>Obblig</c:v>
                </c:pt>
                <c:pt idx="2">
                  <c:v>Oro</c:v>
                </c:pt>
                <c:pt idx="3">
                  <c:v>Liquidi</c:v>
                </c:pt>
              </c:strCache>
            </c:strRef>
          </c:cat>
          <c:val>
            <c:numRef>
              <c:f>'Per classe'!$S$3:$S$9</c:f>
              <c:numCache>
                <c:formatCode>\+0%;\-0%</c:formatCode>
                <c:ptCount val="7"/>
                <c:pt idx="0">
                  <c:v>0.85430242780320176</c:v>
                </c:pt>
                <c:pt idx="1">
                  <c:v>4.7756021426608015E-2</c:v>
                </c:pt>
                <c:pt idx="2">
                  <c:v>0</c:v>
                </c:pt>
                <c:pt idx="3">
                  <c:v>0</c:v>
                </c:pt>
              </c:numCache>
            </c:numRef>
          </c:val>
          <c:extLst>
            <c:ext xmlns:c16="http://schemas.microsoft.com/office/drawing/2014/chart" uri="{C3380CC4-5D6E-409C-BE32-E72D297353CC}">
              <c16:uniqueId val="{00000000-CEBC-488A-B1DD-1BFB667FE173}"/>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5842731245496075"/>
          <c:y val="0.22726851851851851"/>
          <c:w val="0.4749167311264933"/>
          <c:h val="0.65465952172645081"/>
        </c:manualLayout>
      </c:layout>
      <c:pieChart>
        <c:varyColors val="1"/>
        <c:ser>
          <c:idx val="0"/>
          <c:order val="0"/>
          <c:tx>
            <c:strRef>
              <c:f>'Per classe'!$R$2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40-4F8E-A928-C0A554C4E4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40-4F8E-A928-C0A554C4E4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40-4F8E-A928-C0A554C4E4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40-4F8E-A928-C0A554C4E4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40-4F8E-A928-C0A554C4E4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40-4F8E-A928-C0A554C4E4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71E-4FB5-912D-45A929FFEC6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classe'!$O$3:$O$9</c:f>
              <c:strCache>
                <c:ptCount val="4"/>
                <c:pt idx="0">
                  <c:v>Azioni</c:v>
                </c:pt>
                <c:pt idx="1">
                  <c:v>Obblig</c:v>
                </c:pt>
                <c:pt idx="2">
                  <c:v>Oro</c:v>
                </c:pt>
                <c:pt idx="3">
                  <c:v>Liquidi</c:v>
                </c:pt>
              </c:strCache>
            </c:strRef>
          </c:cat>
          <c:val>
            <c:numRef>
              <c:f>'Per classe'!$R$3:$R$9</c:f>
              <c:numCache>
                <c:formatCode>#,##0\ [$€-410]</c:formatCode>
                <c:ptCount val="7"/>
                <c:pt idx="0">
                  <c:v>7074.8242743130195</c:v>
                </c:pt>
                <c:pt idx="1">
                  <c:v>775.72834013388456</c:v>
                </c:pt>
                <c:pt idx="2">
                  <c:v>0</c:v>
                </c:pt>
                <c:pt idx="3">
                  <c:v>0</c:v>
                </c:pt>
              </c:numCache>
            </c:numRef>
          </c:val>
          <c:extLst>
            <c:ext xmlns:c16="http://schemas.microsoft.com/office/drawing/2014/chart" uri="{C3380CC4-5D6E-409C-BE32-E72D297353CC}">
              <c16:uniqueId val="{00000000-DAB1-4728-9A50-3A61B85857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81032020997375342"/>
          <c:y val="0.28761519393409152"/>
          <c:w val="0.17380380577427823"/>
          <c:h val="0.5040514727325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valuta'!$C$2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C9-44BA-860C-CCF8FF8AFC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C9-44BA-860C-CCF8FF8AFC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C9-44BA-860C-CCF8FF8AFC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C9-44BA-860C-CCF8FF8AFC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C9-44BA-860C-CCF8FF8AFC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C9-44BA-860C-CCF8FF8AFCB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valuta'!$A$3:$A$8</c:f>
              <c:strCache>
                <c:ptCount val="5"/>
                <c:pt idx="0">
                  <c:v>EUR</c:v>
                </c:pt>
                <c:pt idx="1">
                  <c:v>USD</c:v>
                </c:pt>
                <c:pt idx="2">
                  <c:v>CHF</c:v>
                </c:pt>
                <c:pt idx="3">
                  <c:v>GBP</c:v>
                </c:pt>
                <c:pt idx="4">
                  <c:v>SEK</c:v>
                </c:pt>
              </c:strCache>
            </c:strRef>
          </c:cat>
          <c:val>
            <c:numRef>
              <c:f>'Per valuta'!$C$3:$C$8</c:f>
              <c:numCache>
                <c:formatCode>#,##0\ [$€-410]</c:formatCode>
                <c:ptCount val="6"/>
                <c:pt idx="0">
                  <c:v>188881.0580530235</c:v>
                </c:pt>
                <c:pt idx="1">
                  <c:v>37161.269474515997</c:v>
                </c:pt>
                <c:pt idx="2">
                  <c:v>0</c:v>
                </c:pt>
                <c:pt idx="3">
                  <c:v>0</c:v>
                </c:pt>
                <c:pt idx="4">
                  <c:v>0</c:v>
                </c:pt>
              </c:numCache>
            </c:numRef>
          </c:val>
          <c:extLst>
            <c:ext xmlns:c16="http://schemas.microsoft.com/office/drawing/2014/chart" uri="{C3380CC4-5D6E-409C-BE32-E72D297353CC}">
              <c16:uniqueId val="{0000000E-39C9-44BA-860C-CCF8FF8AFCB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39677930883639545"/>
          <c:w val="0.23990168290547451"/>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valuta'!$S$2</c:f>
              <c:strCache>
                <c:ptCount val="1"/>
                <c:pt idx="0">
                  <c:v>Rendimento medio</c:v>
                </c:pt>
              </c:strCache>
            </c:strRef>
          </c:tx>
          <c:spPr>
            <a:solidFill>
              <a:schemeClr val="accent1"/>
            </a:solidFill>
            <a:ln>
              <a:noFill/>
            </a:ln>
            <a:effectLst/>
          </c:spPr>
          <c:invertIfNegative val="0"/>
          <c:cat>
            <c:strRef>
              <c:f>'Per valuta'!$O$3:$O$8</c:f>
              <c:strCache>
                <c:ptCount val="5"/>
                <c:pt idx="0">
                  <c:v>EUR</c:v>
                </c:pt>
                <c:pt idx="1">
                  <c:v>USD</c:v>
                </c:pt>
                <c:pt idx="2">
                  <c:v>CHF</c:v>
                </c:pt>
                <c:pt idx="3">
                  <c:v>GBP</c:v>
                </c:pt>
                <c:pt idx="4">
                  <c:v>SEK</c:v>
                </c:pt>
              </c:strCache>
            </c:strRef>
          </c:cat>
          <c:val>
            <c:numRef>
              <c:f>'Per valuta'!$S$3:$S$8</c:f>
              <c:numCache>
                <c:formatCode>\+0%;\-0%</c:formatCode>
                <c:ptCount val="6"/>
                <c:pt idx="0">
                  <c:v>0.26157920754739211</c:v>
                </c:pt>
                <c:pt idx="1">
                  <c:v>0.37290398824054599</c:v>
                </c:pt>
                <c:pt idx="2">
                  <c:v>0</c:v>
                </c:pt>
                <c:pt idx="3">
                  <c:v>0</c:v>
                </c:pt>
                <c:pt idx="4">
                  <c:v>0</c:v>
                </c:pt>
              </c:numCache>
            </c:numRef>
          </c:val>
          <c:extLst>
            <c:ext xmlns:c16="http://schemas.microsoft.com/office/drawing/2014/chart" uri="{C3380CC4-5D6E-409C-BE32-E72D297353CC}">
              <c16:uniqueId val="{00000000-1479-4650-A4FB-D5DF7AFAABAC}"/>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5419335083114608"/>
          <c:y val="0.21899460484106154"/>
          <c:w val="0.41383552055993"/>
          <c:h val="0.6897258675998833"/>
        </c:manualLayout>
      </c:layout>
      <c:pieChart>
        <c:varyColors val="1"/>
        <c:ser>
          <c:idx val="0"/>
          <c:order val="0"/>
          <c:tx>
            <c:strRef>
              <c:f>'Per valuta'!$R$2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16-490A-B11A-AE19AA0E3D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3B4B-408A-A98F-C83B4AE517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16-490A-B11A-AE19AA0E3D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16-490A-B11A-AE19AA0E3D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16-490A-B11A-AE19AA0E3D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16-490A-B11A-AE19AA0E3DAE}"/>
              </c:ext>
            </c:extLst>
          </c:dPt>
          <c:dLbls>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4B-408A-A98F-C83B4AE5174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valuta'!$O$3:$O$8</c:f>
              <c:strCache>
                <c:ptCount val="5"/>
                <c:pt idx="0">
                  <c:v>EUR</c:v>
                </c:pt>
                <c:pt idx="1">
                  <c:v>USD</c:v>
                </c:pt>
                <c:pt idx="2">
                  <c:v>CHF</c:v>
                </c:pt>
                <c:pt idx="3">
                  <c:v>GBP</c:v>
                </c:pt>
                <c:pt idx="4">
                  <c:v>SEK</c:v>
                </c:pt>
              </c:strCache>
            </c:strRef>
          </c:cat>
          <c:val>
            <c:numRef>
              <c:f>'Per valuta'!$R$3:$R$8</c:f>
              <c:numCache>
                <c:formatCode>#,##0\ [$€-410]</c:formatCode>
                <c:ptCount val="6"/>
                <c:pt idx="0">
                  <c:v>3042.6399167999989</c:v>
                </c:pt>
                <c:pt idx="1">
                  <c:v>4807.912697646907</c:v>
                </c:pt>
                <c:pt idx="2">
                  <c:v>0</c:v>
                </c:pt>
                <c:pt idx="3">
                  <c:v>0</c:v>
                </c:pt>
                <c:pt idx="4">
                  <c:v>0</c:v>
                </c:pt>
              </c:numCache>
            </c:numRef>
          </c:val>
          <c:extLst>
            <c:ext xmlns:c16="http://schemas.microsoft.com/office/drawing/2014/chart" uri="{C3380CC4-5D6E-409C-BE32-E72D297353CC}">
              <c16:uniqueId val="{00000000-3B4B-408A-A98F-C83B4AE5174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82530096237970252"/>
          <c:y val="0.25057815689705448"/>
          <c:w val="0.13273140857392826"/>
          <c:h val="0.467014435695538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Intermediario'!$C$2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66-4CB8-AC01-6C2F2DFED3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66-4CB8-AC01-6C2F2DFED3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66-4CB8-AC01-6C2F2DFED3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66-4CB8-AC01-6C2F2DFED3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66-4CB8-AC01-6C2F2DFED3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66-4CB8-AC01-6C2F2DFED3F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466-4CB8-AC01-6C2F2DFED3F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466-4CB8-AC01-6C2F2DFED3F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466-4CB8-AC01-6C2F2DFED3F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66-4849-BE68-88E4878C95A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Intermediario'!$A$3:$A$12</c:f>
              <c:strCache>
                <c:ptCount val="8"/>
                <c:pt idx="0">
                  <c:v>Fineco</c:v>
                </c:pt>
                <c:pt idx="1">
                  <c:v>Fineco-C</c:v>
                </c:pt>
                <c:pt idx="2">
                  <c:v>Directa</c:v>
                </c:pt>
                <c:pt idx="3">
                  <c:v>Sella</c:v>
                </c:pt>
                <c:pt idx="4">
                  <c:v>crypto.com</c:v>
                </c:pt>
                <c:pt idx="5">
                  <c:v>BBVA</c:v>
                </c:pt>
                <c:pt idx="6">
                  <c:v>N26</c:v>
                </c:pt>
                <c:pt idx="7">
                  <c:v>Arancio</c:v>
                </c:pt>
              </c:strCache>
            </c:strRef>
          </c:cat>
          <c:val>
            <c:numRef>
              <c:f>'Per Intermediario'!$C$3:$C$12</c:f>
              <c:numCache>
                <c:formatCode>#,##0\ [$€-410]</c:formatCode>
                <c:ptCount val="10"/>
                <c:pt idx="0">
                  <c:v>147895.86578991302</c:v>
                </c:pt>
                <c:pt idx="1">
                  <c:v>61446.294706056062</c:v>
                </c:pt>
                <c:pt idx="2">
                  <c:v>16700.167031570432</c:v>
                </c:pt>
                <c:pt idx="3">
                  <c:v>0</c:v>
                </c:pt>
                <c:pt idx="4">
                  <c:v>0</c:v>
                </c:pt>
                <c:pt idx="5">
                  <c:v>0</c:v>
                </c:pt>
                <c:pt idx="6">
                  <c:v>0</c:v>
                </c:pt>
                <c:pt idx="7">
                  <c:v>0</c:v>
                </c:pt>
              </c:numCache>
            </c:numRef>
          </c:val>
          <c:extLst>
            <c:ext xmlns:c16="http://schemas.microsoft.com/office/drawing/2014/chart" uri="{C3380CC4-5D6E-409C-BE32-E72D297353CC}">
              <c16:uniqueId val="{00000012-4466-4CB8-AC01-6C2F2DFED3F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39677930883639545"/>
          <c:w val="0.23990168290547451"/>
          <c:h val="0.362479950422863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Intermediario'!$S$2</c:f>
              <c:strCache>
                <c:ptCount val="1"/>
                <c:pt idx="0">
                  <c:v>Rendimento medio</c:v>
                </c:pt>
              </c:strCache>
            </c:strRef>
          </c:tx>
          <c:spPr>
            <a:solidFill>
              <a:schemeClr val="accent1"/>
            </a:solidFill>
            <a:ln>
              <a:noFill/>
            </a:ln>
            <a:effectLst/>
          </c:spPr>
          <c:invertIfNegative val="0"/>
          <c:cat>
            <c:strRef>
              <c:f>'Per Intermediario'!$O$3:$O$12</c:f>
              <c:strCache>
                <c:ptCount val="8"/>
                <c:pt idx="0">
                  <c:v>Fineco</c:v>
                </c:pt>
                <c:pt idx="1">
                  <c:v>Fineco-C</c:v>
                </c:pt>
                <c:pt idx="2">
                  <c:v>Directa</c:v>
                </c:pt>
                <c:pt idx="3">
                  <c:v>Sella</c:v>
                </c:pt>
                <c:pt idx="4">
                  <c:v>crypto.com</c:v>
                </c:pt>
                <c:pt idx="5">
                  <c:v>BBVA</c:v>
                </c:pt>
                <c:pt idx="6">
                  <c:v>N26</c:v>
                </c:pt>
                <c:pt idx="7">
                  <c:v>Arancio</c:v>
                </c:pt>
              </c:strCache>
            </c:strRef>
          </c:cat>
          <c:val>
            <c:numRef>
              <c:f>'Per Intermediario'!$S$3:$S$12</c:f>
              <c:numCache>
                <c:formatCode>\+0%;\-0%</c:formatCode>
                <c:ptCount val="10"/>
                <c:pt idx="0">
                  <c:v>0.11739962848184886</c:v>
                </c:pt>
                <c:pt idx="1">
                  <c:v>0.34036126473804057</c:v>
                </c:pt>
                <c:pt idx="2">
                  <c:v>0</c:v>
                </c:pt>
                <c:pt idx="3">
                  <c:v>0</c:v>
                </c:pt>
                <c:pt idx="4">
                  <c:v>0</c:v>
                </c:pt>
                <c:pt idx="5">
                  <c:v>0</c:v>
                </c:pt>
                <c:pt idx="6">
                  <c:v>0</c:v>
                </c:pt>
                <c:pt idx="7">
                  <c:v>0</c:v>
                </c:pt>
              </c:numCache>
            </c:numRef>
          </c:val>
          <c:extLst>
            <c:ext xmlns:c16="http://schemas.microsoft.com/office/drawing/2014/chart" uri="{C3380CC4-5D6E-409C-BE32-E72D297353CC}">
              <c16:uniqueId val="{00000000-BEF2-4F89-9C8E-586C35378CB2}"/>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Intermediario'!$R$2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EF-4AC7-9867-196AD6D35A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EF-4AC7-9867-196AD6D35A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EF-4AC7-9867-196AD6D35A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EF-4AC7-9867-196AD6D35A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EF-4AC7-9867-196AD6D35A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EF-4AC7-9867-196AD6D35A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8AE-4C8B-B890-0D83811AB76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Intermediario'!$O$3:$O$9</c:f>
              <c:strCache>
                <c:ptCount val="7"/>
                <c:pt idx="0">
                  <c:v>Fineco</c:v>
                </c:pt>
                <c:pt idx="1">
                  <c:v>Fineco-C</c:v>
                </c:pt>
                <c:pt idx="2">
                  <c:v>Directa</c:v>
                </c:pt>
                <c:pt idx="3">
                  <c:v>Sella</c:v>
                </c:pt>
                <c:pt idx="4">
                  <c:v>crypto.com</c:v>
                </c:pt>
                <c:pt idx="5">
                  <c:v>BBVA</c:v>
                </c:pt>
                <c:pt idx="6">
                  <c:v>N26</c:v>
                </c:pt>
              </c:strCache>
            </c:strRef>
          </c:cat>
          <c:val>
            <c:numRef>
              <c:f>'Per Intermediario'!$R$3:$R$9</c:f>
              <c:numCache>
                <c:formatCode>#,##0\ [$€-410]</c:formatCode>
                <c:ptCount val="7"/>
                <c:pt idx="0">
                  <c:v>261.5878395130203</c:v>
                </c:pt>
                <c:pt idx="1">
                  <c:v>7588.9647749338874</c:v>
                </c:pt>
                <c:pt idx="2">
                  <c:v>0</c:v>
                </c:pt>
                <c:pt idx="3">
                  <c:v>0</c:v>
                </c:pt>
                <c:pt idx="4">
                  <c:v>0</c:v>
                </c:pt>
                <c:pt idx="5">
                  <c:v>0</c:v>
                </c:pt>
                <c:pt idx="6">
                  <c:v>0</c:v>
                </c:pt>
              </c:numCache>
            </c:numRef>
          </c:val>
          <c:extLst>
            <c:ext xmlns:c16="http://schemas.microsoft.com/office/drawing/2014/chart" uri="{C3380CC4-5D6E-409C-BE32-E72D297353CC}">
              <c16:uniqueId val="{0000000C-43EF-4AC7-9867-196AD6D35A8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7537598425196852"/>
          <c:y val="0.23205963837853597"/>
          <c:w val="0.1825813648293963"/>
          <c:h val="0.5179403616214639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Area'!$C$2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35-4CF8-9974-0D435FF464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35-4CF8-9974-0D435FF464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35-4CF8-9974-0D435FF464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35-4CF8-9974-0D435FF464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35-4CF8-9974-0D435FF464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35-4CF8-9974-0D435FF464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F44-43F0-8DB7-1C4C024E99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F44-43F0-8DB7-1C4C024E99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F44-43F0-8DB7-1C4C024E99B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529-4182-8644-1C7A3070D5D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529-4182-8644-1C7A3070D5D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529-4182-8644-1C7A3070D5D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529-4182-8644-1C7A3070D5D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529-4182-8644-1C7A3070D5D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529-4182-8644-1C7A3070D5D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529-4182-8644-1C7A3070D5D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529-4182-8644-1C7A3070D5D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640-4E4E-A7DE-DB93DF976B4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640-4E4E-A7DE-DB93DF976B4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640-4E4E-A7DE-DB93DF976B4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9F0-477A-85D6-18781ABD3C4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Area'!$A$3:$A$23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Italia</c:v>
                </c:pt>
                <c:pt idx="11">
                  <c:v>Australia</c:v>
                </c:pt>
                <c:pt idx="12">
                  <c:v>Corea</c:v>
                </c:pt>
                <c:pt idx="13">
                  <c:v>Messico</c:v>
                </c:pt>
                <c:pt idx="14">
                  <c:v>Svizzera</c:v>
                </c:pt>
                <c:pt idx="15">
                  <c:v>India</c:v>
                </c:pt>
                <c:pt idx="16">
                  <c:v>Sud Africa</c:v>
                </c:pt>
                <c:pt idx="17">
                  <c:v>Svezia</c:v>
                </c:pt>
                <c:pt idx="18">
                  <c:v>Indonesia</c:v>
                </c:pt>
                <c:pt idx="19">
                  <c:v>Russia</c:v>
                </c:pt>
                <c:pt idx="20">
                  <c:v>Kazakistan</c:v>
                </c:pt>
              </c:strCache>
            </c:strRef>
          </c:cat>
          <c:val>
            <c:numRef>
              <c:f>'Per Area'!$C$3:$C$23</c:f>
              <c:numCache>
                <c:formatCode>#,##0\ [$€-410]</c:formatCode>
                <c:ptCount val="21"/>
                <c:pt idx="0">
                  <c:v>52019.200098415815</c:v>
                </c:pt>
                <c:pt idx="1">
                  <c:v>1602.380003031564</c:v>
                </c:pt>
                <c:pt idx="2">
                  <c:v>11291.640021362802</c:v>
                </c:pt>
                <c:pt idx="3">
                  <c:v>0</c:v>
                </c:pt>
                <c:pt idx="4">
                  <c:v>42754.469485097849</c:v>
                </c:pt>
                <c:pt idx="5">
                  <c:v>77463.398346159025</c:v>
                </c:pt>
                <c:pt idx="6">
                  <c:v>0</c:v>
                </c:pt>
                <c:pt idx="7">
                  <c:v>0</c:v>
                </c:pt>
                <c:pt idx="8">
                  <c:v>0</c:v>
                </c:pt>
                <c:pt idx="9">
                  <c:v>0</c:v>
                </c:pt>
                <c:pt idx="10">
                  <c:v>40911.239573472427</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C-2A35-4CF8-9974-0D435FF464C3}"/>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3.7341809846328566E-2"/>
          <c:w val="0.23990168290547451"/>
          <c:h val="0.93025076350944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Area'!$S$2</c:f>
              <c:strCache>
                <c:ptCount val="1"/>
                <c:pt idx="0">
                  <c:v>Rendimento medio</c:v>
                </c:pt>
              </c:strCache>
            </c:strRef>
          </c:tx>
          <c:spPr>
            <a:solidFill>
              <a:schemeClr val="accent1"/>
            </a:solidFill>
            <a:ln>
              <a:noFill/>
            </a:ln>
            <a:effectLst/>
          </c:spPr>
          <c:invertIfNegative val="0"/>
          <c:cat>
            <c:strRef>
              <c:f>'Per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Italia</c:v>
                </c:pt>
                <c:pt idx="11">
                  <c:v>Australia</c:v>
                </c:pt>
                <c:pt idx="12">
                  <c:v>Corea</c:v>
                </c:pt>
                <c:pt idx="13">
                  <c:v>Messico</c:v>
                </c:pt>
                <c:pt idx="14">
                  <c:v>Svizzera</c:v>
                </c:pt>
                <c:pt idx="15">
                  <c:v>India</c:v>
                </c:pt>
                <c:pt idx="16">
                  <c:v>Sud Africa</c:v>
                </c:pt>
                <c:pt idx="17">
                  <c:v>Svezia</c:v>
                </c:pt>
                <c:pt idx="18">
                  <c:v>Indonesia</c:v>
                </c:pt>
                <c:pt idx="19">
                  <c:v>Russia</c:v>
                </c:pt>
                <c:pt idx="20">
                  <c:v>Kazakistan</c:v>
                </c:pt>
              </c:strCache>
            </c:strRef>
          </c:cat>
          <c:val>
            <c:numRef>
              <c:f>'Per Area'!$S$3:$S$23</c:f>
              <c:numCache>
                <c:formatCode>\+0%;\-0%</c:formatCode>
                <c:ptCount val="21"/>
                <c:pt idx="0">
                  <c:v>0.4298441606990217</c:v>
                </c:pt>
                <c:pt idx="1">
                  <c:v>0</c:v>
                </c:pt>
                <c:pt idx="2">
                  <c:v>0</c:v>
                </c:pt>
                <c:pt idx="3">
                  <c:v>0.28202305978102871</c:v>
                </c:pt>
                <c:pt idx="4">
                  <c:v>0.40852718111464859</c:v>
                </c:pt>
                <c:pt idx="5">
                  <c:v>0</c:v>
                </c:pt>
                <c:pt idx="6">
                  <c:v>0</c:v>
                </c:pt>
                <c:pt idx="7">
                  <c:v>0</c:v>
                </c:pt>
                <c:pt idx="8">
                  <c:v>0</c:v>
                </c:pt>
                <c:pt idx="9">
                  <c:v>0</c:v>
                </c:pt>
                <c:pt idx="10">
                  <c:v>0.15888815815081891</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EDFB-4A1E-9550-D83319D90946}"/>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030446194225716"/>
          <c:y val="0.19121682706328375"/>
          <c:w val="0.42772440944881895"/>
          <c:h val="0.71287401574803155"/>
        </c:manualLayout>
      </c:layout>
      <c:pieChart>
        <c:varyColors val="1"/>
        <c:ser>
          <c:idx val="0"/>
          <c:order val="0"/>
          <c:tx>
            <c:strRef>
              <c:f>'Per Area'!$R$2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9-42F6-B14E-9532D628F2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79-42F6-B14E-9532D628F2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79-42F6-B14E-9532D628F2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79-42F6-B14E-9532D628F2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79-42F6-B14E-9532D628F2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79-42F6-B14E-9532D628F2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3F-4613-95C1-9890D7D3D44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33F-4613-95C1-9890D7D3D44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33F-4613-95C1-9890D7D3D44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33F-4613-95C1-9890D7D3D44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33F-4613-95C1-9890D7D3D44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33F-4613-95C1-9890D7D3D44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33F-4613-95C1-9890D7D3D44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33F-4613-95C1-9890D7D3D44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33F-4613-95C1-9890D7D3D44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33F-4613-95C1-9890D7D3D44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33F-4613-95C1-9890D7D3D44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8BB-4FCA-B3C5-0811C26A09A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8BB-4FCA-B3C5-0811C26A09A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8BB-4FCA-B3C5-0811C26A09A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CA3-4A32-87A3-FB536E3B03B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Italia</c:v>
                </c:pt>
                <c:pt idx="11">
                  <c:v>Australia</c:v>
                </c:pt>
                <c:pt idx="12">
                  <c:v>Corea</c:v>
                </c:pt>
                <c:pt idx="13">
                  <c:v>Messico</c:v>
                </c:pt>
                <c:pt idx="14">
                  <c:v>Svizzera</c:v>
                </c:pt>
                <c:pt idx="15">
                  <c:v>India</c:v>
                </c:pt>
                <c:pt idx="16">
                  <c:v>Sud Africa</c:v>
                </c:pt>
                <c:pt idx="17">
                  <c:v>Svezia</c:v>
                </c:pt>
                <c:pt idx="18">
                  <c:v>Indonesia</c:v>
                </c:pt>
                <c:pt idx="19">
                  <c:v>Russia</c:v>
                </c:pt>
                <c:pt idx="20">
                  <c:v>Kazakistan</c:v>
                </c:pt>
              </c:strCache>
            </c:strRef>
          </c:cat>
          <c:val>
            <c:numRef>
              <c:f>'Per Area'!$R$3:$R$23</c:f>
              <c:numCache>
                <c:formatCode>#,##0\ [$€-410]</c:formatCode>
                <c:ptCount val="21"/>
                <c:pt idx="0">
                  <c:v>452.58291680000002</c:v>
                </c:pt>
                <c:pt idx="1">
                  <c:v>0</c:v>
                </c:pt>
                <c:pt idx="2">
                  <c:v>0</c:v>
                </c:pt>
                <c:pt idx="3">
                  <c:v>145.5379999999999</c:v>
                </c:pt>
                <c:pt idx="4">
                  <c:v>5899.4654976469064</c:v>
                </c:pt>
                <c:pt idx="5">
                  <c:v>0</c:v>
                </c:pt>
                <c:pt idx="6">
                  <c:v>0</c:v>
                </c:pt>
                <c:pt idx="7">
                  <c:v>0</c:v>
                </c:pt>
                <c:pt idx="8">
                  <c:v>0</c:v>
                </c:pt>
                <c:pt idx="9">
                  <c:v>0</c:v>
                </c:pt>
                <c:pt idx="10">
                  <c:v>1352.9662000000008</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8D0-461E-813B-48365C357DD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8202296587926512"/>
          <c:y val="6.0763342082239706E-2"/>
          <c:w val="0.18595384951881011"/>
          <c:h val="0.90682925051035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'Azionario per Area'!$C$2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08-4A5B-B564-672DFA9AE0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08-4A5B-B564-672DFA9AE0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08-4A5B-B564-672DFA9AE0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08-4A5B-B564-672DFA9AE0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08-4A5B-B564-672DFA9AE0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08-4A5B-B564-672DFA9AE0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08-4A5B-B564-672DFA9AE0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08-4A5B-B564-672DFA9AE0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08-4A5B-B564-672DFA9AE0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C08-4A5B-B564-672DFA9AE0C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C08-4A5B-B564-672DFA9AE0C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C08-4A5B-B564-672DFA9AE0C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C08-4A5B-B564-672DFA9AE0C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C08-4A5B-B564-672DFA9AE0C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C08-4A5B-B564-672DFA9AE0C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C08-4A5B-B564-672DFA9AE0C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C08-4A5B-B564-672DFA9AE0C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FCE-4A47-9819-9F1BE604372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FCE-4A47-9819-9F1BE604372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FCE-4A47-9819-9F1BE604372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98B-40DF-A792-86A12F31410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Area'!$A$3:$A$23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Australia</c:v>
                </c:pt>
                <c:pt idx="11">
                  <c:v>Corea</c:v>
                </c:pt>
                <c:pt idx="12">
                  <c:v>Messico</c:v>
                </c:pt>
                <c:pt idx="13">
                  <c:v>Svizzera</c:v>
                </c:pt>
                <c:pt idx="14">
                  <c:v>India</c:v>
                </c:pt>
                <c:pt idx="15">
                  <c:v>Sud Africa</c:v>
                </c:pt>
                <c:pt idx="16">
                  <c:v>Svezia</c:v>
                </c:pt>
                <c:pt idx="17">
                  <c:v>Italia</c:v>
                </c:pt>
                <c:pt idx="18">
                  <c:v>Indonesia</c:v>
                </c:pt>
                <c:pt idx="19">
                  <c:v>Russia</c:v>
                </c:pt>
                <c:pt idx="20">
                  <c:v>Kazakistan</c:v>
                </c:pt>
              </c:strCache>
            </c:strRef>
          </c:cat>
          <c:val>
            <c:numRef>
              <c:f>'Azionario per Area'!$C$3:$C$23</c:f>
              <c:numCache>
                <c:formatCode>General</c:formatCode>
                <c:ptCount val="21"/>
                <c:pt idx="0">
                  <c:v>52019.200098415815</c:v>
                </c:pt>
                <c:pt idx="1">
                  <c:v>1602.380003031564</c:v>
                </c:pt>
                <c:pt idx="2">
                  <c:v>11291.640021362802</c:v>
                </c:pt>
                <c:pt idx="3">
                  <c:v>0</c:v>
                </c:pt>
                <c:pt idx="4" formatCode="#,##0\ [$€-410]">
                  <c:v>37161.269474515997</c:v>
                </c:pt>
                <c:pt idx="5" formatCode="#,##0\ [$€-410]">
                  <c:v>12379.240023420447</c:v>
                </c:pt>
                <c:pt idx="6" formatCode="#,##0\ [$€-410]">
                  <c:v>0</c:v>
                </c:pt>
                <c:pt idx="7" formatCode="#,##0\ [$€-410]">
                  <c:v>0</c:v>
                </c:pt>
                <c:pt idx="8" formatCode="#,##0\ [$€-410]">
                  <c:v>0</c:v>
                </c:pt>
                <c:pt idx="9" formatCode="#,##0\ [$€-410]">
                  <c:v>0</c:v>
                </c:pt>
                <c:pt idx="10" formatCode="#,##0\ [$€-410]">
                  <c:v>0</c:v>
                </c:pt>
                <c:pt idx="11" formatCode="#,##0\ [$€-410]">
                  <c:v>0</c:v>
                </c:pt>
                <c:pt idx="12" formatCode="#,##0\ [$€-410]">
                  <c:v>0</c:v>
                </c:pt>
                <c:pt idx="13" formatCode="#,##0\ [$€-410]">
                  <c:v>0</c:v>
                </c:pt>
                <c:pt idx="14" formatCode="#,##0\ [$€-410]">
                  <c:v>0</c:v>
                </c:pt>
                <c:pt idx="15" formatCode="#,##0\ [$€-410]">
                  <c:v>0</c:v>
                </c:pt>
                <c:pt idx="16" formatCode="#,##0\ [$€-410]">
                  <c:v>0</c:v>
                </c:pt>
                <c:pt idx="17" formatCode="#,##0\ [$€-410]">
                  <c:v>908.66200157973799</c:v>
                </c:pt>
                <c:pt idx="18" formatCode="#,##0\ [$€-410]">
                  <c:v>0</c:v>
                </c:pt>
                <c:pt idx="19" formatCode="#,##0\ [$€-410]">
                  <c:v>0</c:v>
                </c:pt>
                <c:pt idx="20" formatCode="#,##0\ [$€-410]">
                  <c:v>0</c:v>
                </c:pt>
              </c:numCache>
            </c:numRef>
          </c:val>
          <c:extLst>
            <c:ext xmlns:c16="http://schemas.microsoft.com/office/drawing/2014/chart" uri="{C3380CC4-5D6E-409C-BE32-E72D297353CC}">
              <c16:uniqueId val="{00000022-BC08-4A5B-B564-672DFA9AE0C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3.7341809846328566E-2"/>
          <c:w val="0.23990168290547451"/>
          <c:h val="0.93025076350944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'Azionario per Area'!$S$2</c:f>
              <c:strCache>
                <c:ptCount val="1"/>
                <c:pt idx="0">
                  <c:v>Rendimento medio</c:v>
                </c:pt>
              </c:strCache>
            </c:strRef>
          </c:tx>
          <c:spPr>
            <a:solidFill>
              <a:schemeClr val="accent1"/>
            </a:solidFill>
            <a:ln>
              <a:noFill/>
            </a:ln>
            <a:effectLst/>
          </c:spPr>
          <c:invertIfNegative val="0"/>
          <c:cat>
            <c:strRef>
              <c:f>'Azionario 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Australia</c:v>
                </c:pt>
                <c:pt idx="11">
                  <c:v>Corea</c:v>
                </c:pt>
                <c:pt idx="12">
                  <c:v>Messico</c:v>
                </c:pt>
                <c:pt idx="13">
                  <c:v>Svizzera</c:v>
                </c:pt>
                <c:pt idx="14">
                  <c:v>India</c:v>
                </c:pt>
                <c:pt idx="15">
                  <c:v>Sud Africa</c:v>
                </c:pt>
                <c:pt idx="16">
                  <c:v>Svezia</c:v>
                </c:pt>
                <c:pt idx="17">
                  <c:v>Italia</c:v>
                </c:pt>
                <c:pt idx="18">
                  <c:v>Indonesia</c:v>
                </c:pt>
                <c:pt idx="19">
                  <c:v>Russia</c:v>
                </c:pt>
                <c:pt idx="20">
                  <c:v>Kazakistan</c:v>
                </c:pt>
              </c:strCache>
            </c:strRef>
          </c:cat>
          <c:val>
            <c:numRef>
              <c:f>'Azionario per Area'!$S$3:$S$23</c:f>
              <c:numCache>
                <c:formatCode>\+0%;\-0%</c:formatCode>
                <c:ptCount val="21"/>
                <c:pt idx="0">
                  <c:v>0.4298441606990217</c:v>
                </c:pt>
                <c:pt idx="1">
                  <c:v>0</c:v>
                </c:pt>
                <c:pt idx="3">
                  <c:v>0.28202305978102871</c:v>
                </c:pt>
                <c:pt idx="4">
                  <c:v>1.059640378983939</c:v>
                </c:pt>
                <c:pt idx="5">
                  <c:v>0</c:v>
                </c:pt>
                <c:pt idx="6">
                  <c:v>0</c:v>
                </c:pt>
                <c:pt idx="7">
                  <c:v>0</c:v>
                </c:pt>
                <c:pt idx="8">
                  <c:v>0</c:v>
                </c:pt>
                <c:pt idx="9">
                  <c:v>0</c:v>
                </c:pt>
                <c:pt idx="10">
                  <c:v>0</c:v>
                </c:pt>
                <c:pt idx="11">
                  <c:v>0</c:v>
                </c:pt>
                <c:pt idx="12">
                  <c:v>0</c:v>
                </c:pt>
                <c:pt idx="13">
                  <c:v>0</c:v>
                </c:pt>
                <c:pt idx="14">
                  <c:v>0</c:v>
                </c:pt>
                <c:pt idx="15">
                  <c:v>0</c:v>
                </c:pt>
                <c:pt idx="16">
                  <c:v>0</c:v>
                </c:pt>
                <c:pt idx="17">
                  <c:v>0.63084476298720105</c:v>
                </c:pt>
                <c:pt idx="18">
                  <c:v>0</c:v>
                </c:pt>
                <c:pt idx="19">
                  <c:v>0</c:v>
                </c:pt>
                <c:pt idx="20">
                  <c:v>0</c:v>
                </c:pt>
              </c:numCache>
            </c:numRef>
          </c:val>
          <c:extLst>
            <c:ext xmlns:c16="http://schemas.microsoft.com/office/drawing/2014/chart" uri="{C3380CC4-5D6E-409C-BE32-E72D297353CC}">
              <c16:uniqueId val="{00000000-9A01-4DCF-AB94-BA5ADC46B70B}"/>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030446194225716"/>
          <c:y val="0.19121682706328375"/>
          <c:w val="0.42772440944881895"/>
          <c:h val="0.71287401574803155"/>
        </c:manualLayout>
      </c:layout>
      <c:pieChart>
        <c:varyColors val="1"/>
        <c:ser>
          <c:idx val="0"/>
          <c:order val="0"/>
          <c:tx>
            <c:strRef>
              <c:f>'Azionario per Area'!$R$2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1-47B9-B97B-62EC3F7D38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01-47B9-B97B-62EC3F7D38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01-47B9-B97B-62EC3F7D38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01-47B9-B97B-62EC3F7D38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01-47B9-B97B-62EC3F7D38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01-47B9-B97B-62EC3F7D38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01-47B9-B97B-62EC3F7D38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01-47B9-B97B-62EC3F7D38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01-47B9-B97B-62EC3F7D389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01-47B9-B97B-62EC3F7D389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A01-47B9-B97B-62EC3F7D389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A01-47B9-B97B-62EC3F7D389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A01-47B9-B97B-62EC3F7D389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A01-47B9-B97B-62EC3F7D389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A01-47B9-B97B-62EC3F7D389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A01-47B9-B97B-62EC3F7D389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A01-47B9-B97B-62EC3F7D389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D0A-47C8-99AA-0E34BC85697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D0A-47C8-99AA-0E34BC85697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D0A-47C8-99AA-0E34BC85697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AD2-4F52-956A-CEF731F3492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Area'!$O$3:$O$23</c:f>
              <c:strCache>
                <c:ptCount val="21"/>
                <c:pt idx="0">
                  <c:v>Mondo</c:v>
                </c:pt>
                <c:pt idx="1">
                  <c:v>Mondo sviluppato</c:v>
                </c:pt>
                <c:pt idx="2">
                  <c:v>Mondo ex-US</c:v>
                </c:pt>
                <c:pt idx="3">
                  <c:v>Paesi emergenti</c:v>
                </c:pt>
                <c:pt idx="4">
                  <c:v>US</c:v>
                </c:pt>
                <c:pt idx="5">
                  <c:v>EU</c:v>
                </c:pt>
                <c:pt idx="6">
                  <c:v>UK</c:v>
                </c:pt>
                <c:pt idx="7">
                  <c:v>Cina</c:v>
                </c:pt>
                <c:pt idx="8">
                  <c:v>Canada</c:v>
                </c:pt>
                <c:pt idx="9">
                  <c:v>Giappone</c:v>
                </c:pt>
                <c:pt idx="10">
                  <c:v>Australia</c:v>
                </c:pt>
                <c:pt idx="11">
                  <c:v>Corea</c:v>
                </c:pt>
                <c:pt idx="12">
                  <c:v>Messico</c:v>
                </c:pt>
                <c:pt idx="13">
                  <c:v>Svizzera</c:v>
                </c:pt>
                <c:pt idx="14">
                  <c:v>India</c:v>
                </c:pt>
                <c:pt idx="15">
                  <c:v>Sud Africa</c:v>
                </c:pt>
                <c:pt idx="16">
                  <c:v>Svezia</c:v>
                </c:pt>
                <c:pt idx="17">
                  <c:v>Italia</c:v>
                </c:pt>
                <c:pt idx="18">
                  <c:v>Indonesia</c:v>
                </c:pt>
                <c:pt idx="19">
                  <c:v>Russia</c:v>
                </c:pt>
                <c:pt idx="20">
                  <c:v>Kazakistan</c:v>
                </c:pt>
              </c:strCache>
            </c:strRef>
          </c:cat>
          <c:val>
            <c:numRef>
              <c:f>'Azionario per Area'!$R$3:$R$23</c:f>
              <c:numCache>
                <c:formatCode>#,##0\ [$€-410]</c:formatCode>
                <c:ptCount val="21"/>
                <c:pt idx="0">
                  <c:v>452.58291680000002</c:v>
                </c:pt>
                <c:pt idx="1">
                  <c:v>0</c:v>
                </c:pt>
                <c:pt idx="2">
                  <c:v>0</c:v>
                </c:pt>
                <c:pt idx="3">
                  <c:v>145.5379999999999</c:v>
                </c:pt>
                <c:pt idx="4">
                  <c:v>5540.8943575130197</c:v>
                </c:pt>
                <c:pt idx="5">
                  <c:v>0</c:v>
                </c:pt>
                <c:pt idx="6">
                  <c:v>0</c:v>
                </c:pt>
                <c:pt idx="7">
                  <c:v>0</c:v>
                </c:pt>
                <c:pt idx="8">
                  <c:v>0</c:v>
                </c:pt>
                <c:pt idx="9">
                  <c:v>0</c:v>
                </c:pt>
                <c:pt idx="10">
                  <c:v>0</c:v>
                </c:pt>
                <c:pt idx="11">
                  <c:v>0</c:v>
                </c:pt>
                <c:pt idx="12">
                  <c:v>0</c:v>
                </c:pt>
                <c:pt idx="13">
                  <c:v>0</c:v>
                </c:pt>
                <c:pt idx="14">
                  <c:v>0</c:v>
                </c:pt>
                <c:pt idx="15">
                  <c:v>0</c:v>
                </c:pt>
                <c:pt idx="16">
                  <c:v>0</c:v>
                </c:pt>
                <c:pt idx="17">
                  <c:v>935.80899999999974</c:v>
                </c:pt>
                <c:pt idx="18">
                  <c:v>0</c:v>
                </c:pt>
                <c:pt idx="19">
                  <c:v>0</c:v>
                </c:pt>
                <c:pt idx="20">
                  <c:v>0</c:v>
                </c:pt>
              </c:numCache>
            </c:numRef>
          </c:val>
          <c:extLst>
            <c:ext xmlns:c16="http://schemas.microsoft.com/office/drawing/2014/chart" uri="{C3380CC4-5D6E-409C-BE32-E72D297353CC}">
              <c16:uniqueId val="{00000022-FA01-47B9-B97B-62EC3F7D389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8202296587926512"/>
          <c:y val="6.0763342082239706E-2"/>
          <c:w val="0.18595384951881011"/>
          <c:h val="0.90682925051035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'Obblig per Area'!$C$2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43-4646-9CD8-F45A86BE3F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43-4646-9CD8-F45A86BE3F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43-4646-9CD8-F45A86BE3F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43-4646-9CD8-F45A86BE3F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43-4646-9CD8-F45A86BE3F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43-4646-9CD8-F45A86BE3F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43-4646-9CD8-F45A86BE3FC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43-4646-9CD8-F45A86BE3FC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43-4646-9CD8-F45A86BE3FC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43-4646-9CD8-F45A86BE3FC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43-4646-9CD8-F45A86BE3FC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243-4646-9CD8-F45A86BE3FC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243-4646-9CD8-F45A86BE3FC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243-4646-9CD8-F45A86BE3FC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243-4646-9CD8-F45A86BE3FC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243-4646-9CD8-F45A86BE3FC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243-4646-9CD8-F45A86BE3FC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Area'!$A$3:$A$19</c:f>
              <c:strCache>
                <c:ptCount val="17"/>
                <c:pt idx="0">
                  <c:v>Italia</c:v>
                </c:pt>
                <c:pt idx="1">
                  <c:v>EU</c:v>
                </c:pt>
                <c:pt idx="2">
                  <c:v>US</c:v>
                </c:pt>
                <c:pt idx="3">
                  <c:v>UK</c:v>
                </c:pt>
                <c:pt idx="4">
                  <c:v>Cina</c:v>
                </c:pt>
                <c:pt idx="5">
                  <c:v>Canada</c:v>
                </c:pt>
                <c:pt idx="6">
                  <c:v>Giappone</c:v>
                </c:pt>
                <c:pt idx="7">
                  <c:v>Australia</c:v>
                </c:pt>
                <c:pt idx="8">
                  <c:v>Corea</c:v>
                </c:pt>
                <c:pt idx="9">
                  <c:v>Messico</c:v>
                </c:pt>
                <c:pt idx="10">
                  <c:v>Svizzera</c:v>
                </c:pt>
                <c:pt idx="11">
                  <c:v>India</c:v>
                </c:pt>
                <c:pt idx="12">
                  <c:v>Sud Africa</c:v>
                </c:pt>
                <c:pt idx="13">
                  <c:v>Svezia</c:v>
                </c:pt>
                <c:pt idx="14">
                  <c:v>Indonesia</c:v>
                </c:pt>
                <c:pt idx="15">
                  <c:v>Russia</c:v>
                </c:pt>
                <c:pt idx="16">
                  <c:v>Kazakistan</c:v>
                </c:pt>
              </c:strCache>
            </c:strRef>
          </c:cat>
          <c:val>
            <c:numRef>
              <c:f>'Obblig per Area'!$C$3:$C$19</c:f>
              <c:numCache>
                <c:formatCode>#,##0\ [$€-410]</c:formatCode>
                <c:ptCount val="17"/>
                <c:pt idx="0">
                  <c:v>40002.577571892689</c:v>
                </c:pt>
                <c:pt idx="1">
                  <c:v>65084.158322738585</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22-C243-4646-9CD8-F45A86BE3FC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3.7341809846328566E-2"/>
          <c:w val="0.23990168290547451"/>
          <c:h val="0.930250763509442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'Obblig per Area'!$S$2</c:f>
              <c:strCache>
                <c:ptCount val="1"/>
                <c:pt idx="0">
                  <c:v>Rendimento medio</c:v>
                </c:pt>
              </c:strCache>
            </c:strRef>
          </c:tx>
          <c:spPr>
            <a:solidFill>
              <a:schemeClr val="accent1"/>
            </a:solidFill>
            <a:ln>
              <a:noFill/>
            </a:ln>
            <a:effectLst/>
          </c:spPr>
          <c:invertIfNegative val="0"/>
          <c:cat>
            <c:strRef>
              <c:f>'Obblig per Area'!$O$3:$O$17</c:f>
              <c:strCache>
                <c:ptCount val="15"/>
                <c:pt idx="0">
                  <c:v>Italia</c:v>
                </c:pt>
                <c:pt idx="1">
                  <c:v>EU</c:v>
                </c:pt>
                <c:pt idx="2">
                  <c:v>US</c:v>
                </c:pt>
                <c:pt idx="3">
                  <c:v>UK</c:v>
                </c:pt>
                <c:pt idx="4">
                  <c:v>Cina</c:v>
                </c:pt>
                <c:pt idx="5">
                  <c:v>Canada</c:v>
                </c:pt>
                <c:pt idx="6">
                  <c:v>Giappone</c:v>
                </c:pt>
                <c:pt idx="7">
                  <c:v>Australia</c:v>
                </c:pt>
                <c:pt idx="8">
                  <c:v>Corea</c:v>
                </c:pt>
                <c:pt idx="9">
                  <c:v>Messico</c:v>
                </c:pt>
                <c:pt idx="10">
                  <c:v>Svizzera</c:v>
                </c:pt>
                <c:pt idx="11">
                  <c:v>India</c:v>
                </c:pt>
                <c:pt idx="12">
                  <c:v>Sud Africa</c:v>
                </c:pt>
                <c:pt idx="13">
                  <c:v>Svezia</c:v>
                </c:pt>
                <c:pt idx="14">
                  <c:v>Indonesia</c:v>
                </c:pt>
              </c:strCache>
            </c:strRef>
          </c:cat>
          <c:val>
            <c:numRef>
              <c:f>'Obblig per Area'!$S$3:$S$17</c:f>
              <c:numCache>
                <c:formatCode>\+0%;\-0%</c:formatCode>
                <c:ptCount val="15"/>
                <c:pt idx="0">
                  <c:v>5.9324475895647016E-2</c:v>
                </c:pt>
                <c:pt idx="1">
                  <c:v>0</c:v>
                </c:pt>
                <c:pt idx="2">
                  <c:v>3.8925273038052433E-2</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F8C7-4791-B8CC-44F7E79CFEE0}"/>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030446194225716"/>
          <c:y val="0.19121682706328375"/>
          <c:w val="0.42772440944881895"/>
          <c:h val="0.71287401574803155"/>
        </c:manualLayout>
      </c:layout>
      <c:pieChart>
        <c:varyColors val="1"/>
        <c:ser>
          <c:idx val="0"/>
          <c:order val="0"/>
          <c:tx>
            <c:strRef>
              <c:f>'Obblig per Area'!$R$2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81-4CD7-9CEB-FE8051B864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81-4CD7-9CEB-FE8051B864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81-4CD7-9CEB-FE8051B864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81-4CD7-9CEB-FE8051B864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81-4CD7-9CEB-FE8051B864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81-4CD7-9CEB-FE8051B864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81-4CD7-9CEB-FE8051B8645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881-4CD7-9CEB-FE8051B8645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881-4CD7-9CEB-FE8051B8645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881-4CD7-9CEB-FE8051B8645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881-4CD7-9CEB-FE8051B8645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881-4CD7-9CEB-FE8051B8645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881-4CD7-9CEB-FE8051B8645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881-4CD7-9CEB-FE8051B8645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881-4CD7-9CEB-FE8051B8645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881-4CD7-9CEB-FE8051B8645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881-4CD7-9CEB-FE8051B8645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Area'!$O$3:$O$19</c:f>
              <c:strCache>
                <c:ptCount val="17"/>
                <c:pt idx="0">
                  <c:v>Italia</c:v>
                </c:pt>
                <c:pt idx="1">
                  <c:v>EU</c:v>
                </c:pt>
                <c:pt idx="2">
                  <c:v>US</c:v>
                </c:pt>
                <c:pt idx="3">
                  <c:v>UK</c:v>
                </c:pt>
                <c:pt idx="4">
                  <c:v>Cina</c:v>
                </c:pt>
                <c:pt idx="5">
                  <c:v>Canada</c:v>
                </c:pt>
                <c:pt idx="6">
                  <c:v>Giappone</c:v>
                </c:pt>
                <c:pt idx="7">
                  <c:v>Australia</c:v>
                </c:pt>
                <c:pt idx="8">
                  <c:v>Corea</c:v>
                </c:pt>
                <c:pt idx="9">
                  <c:v>Messico</c:v>
                </c:pt>
                <c:pt idx="10">
                  <c:v>Svizzera</c:v>
                </c:pt>
                <c:pt idx="11">
                  <c:v>India</c:v>
                </c:pt>
                <c:pt idx="12">
                  <c:v>Sud Africa</c:v>
                </c:pt>
                <c:pt idx="13">
                  <c:v>Svezia</c:v>
                </c:pt>
                <c:pt idx="14">
                  <c:v>Indonesia</c:v>
                </c:pt>
                <c:pt idx="15">
                  <c:v>Russia</c:v>
                </c:pt>
                <c:pt idx="16">
                  <c:v>Kazakistan</c:v>
                </c:pt>
              </c:strCache>
            </c:strRef>
          </c:cat>
          <c:val>
            <c:numRef>
              <c:f>'Obblig per Area'!$R$3:$R$19</c:f>
              <c:numCache>
                <c:formatCode>#,##0\ [$€-410]</c:formatCode>
                <c:ptCount val="17"/>
                <c:pt idx="0">
                  <c:v>417.15719999999965</c:v>
                </c:pt>
                <c:pt idx="1">
                  <c:v>0</c:v>
                </c:pt>
                <c:pt idx="2">
                  <c:v>358.57114013388491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22-A881-4CD7-9CEB-FE8051B864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8202296587926512"/>
          <c:y val="6.0763342082239706E-2"/>
          <c:w val="0.18595384951881011"/>
          <c:h val="0.90682925051035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17153941431478373"/>
          <c:w val="0.56524534976004692"/>
          <c:h val="0.7748308708602436"/>
        </c:manualLayout>
      </c:layout>
      <c:pieChart>
        <c:varyColors val="1"/>
        <c:ser>
          <c:idx val="0"/>
          <c:order val="0"/>
          <c:tx>
            <c:strRef>
              <c:f>'Per Settore'!$C$2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3E-40FE-97E6-16C7CB8605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3E-40FE-97E6-16C7CB8605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3E-40FE-97E6-16C7CB8605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3E-40FE-97E6-16C7CB8605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3E-40FE-97E6-16C7CB8605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3E-40FE-97E6-16C7CB8605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0F6-43E3-A0B1-4A145168C77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0F6-43E3-A0B1-4A145168C77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0F6-43E3-A0B1-4A145168C77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182-44A5-8DC1-A9969336303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182-44A5-8DC1-A9969336303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449-49D0-AA84-AC55175A278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Settore'!$A$3:$A$14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'Per Settore'!$C$3:$C$14</c:f>
              <c:numCache>
                <c:formatCode>#,##0\ [$€-410]</c:formatCode>
                <c:ptCount val="12"/>
                <c:pt idx="0">
                  <c:v>908.66200157973799</c:v>
                </c:pt>
                <c:pt idx="1">
                  <c:v>0</c:v>
                </c:pt>
                <c:pt idx="2">
                  <c:v>0</c:v>
                </c:pt>
                <c:pt idx="3">
                  <c:v>0</c:v>
                </c:pt>
                <c:pt idx="4">
                  <c:v>5593.2000105818479</c:v>
                </c:pt>
                <c:pt idx="5">
                  <c:v>37161.269474515997</c:v>
                </c:pt>
                <c:pt idx="6">
                  <c:v>0</c:v>
                </c:pt>
                <c:pt idx="7">
                  <c:v>0</c:v>
                </c:pt>
                <c:pt idx="8">
                  <c:v>17921.142033905242</c:v>
                </c:pt>
                <c:pt idx="9">
                  <c:v>0</c:v>
                </c:pt>
                <c:pt idx="10">
                  <c:v>0</c:v>
                </c:pt>
                <c:pt idx="11">
                  <c:v>87165.593860726032</c:v>
                </c:pt>
              </c:numCache>
            </c:numRef>
          </c:val>
          <c:extLst>
            <c:ext xmlns:c16="http://schemas.microsoft.com/office/drawing/2014/chart" uri="{C3380CC4-5D6E-409C-BE32-E72D297353CC}">
              <c16:uniqueId val="{0000000C-203E-40FE-97E6-16C7CB86052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9.585338291046952E-2"/>
          <c:w val="0.23990168290547451"/>
          <c:h val="0.87173920968212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Settore'!$S$2</c:f>
              <c:strCache>
                <c:ptCount val="1"/>
                <c:pt idx="0">
                  <c:v>Rendimento medio</c:v>
                </c:pt>
              </c:strCache>
            </c:strRef>
          </c:tx>
          <c:spPr>
            <a:solidFill>
              <a:schemeClr val="accent1"/>
            </a:solidFill>
            <a:ln>
              <a:noFill/>
            </a:ln>
            <a:effectLst/>
          </c:spPr>
          <c:invertIfNegative val="0"/>
          <c:cat>
            <c:strRef>
              <c:f>'Per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'Per Settore'!$S$3:$S$14</c:f>
              <c:numCache>
                <c:formatCode>\+0%;\-0%</c:formatCode>
                <c:ptCount val="12"/>
                <c:pt idx="0">
                  <c:v>-0.23987432061068692</c:v>
                </c:pt>
                <c:pt idx="1">
                  <c:v>1.1299811970170186</c:v>
                </c:pt>
                <c:pt idx="2">
                  <c:v>0</c:v>
                </c:pt>
                <c:pt idx="3">
                  <c:v>0</c:v>
                </c:pt>
                <c:pt idx="4">
                  <c:v>0</c:v>
                </c:pt>
                <c:pt idx="5">
                  <c:v>1.1106712884290257</c:v>
                </c:pt>
                <c:pt idx="6">
                  <c:v>0</c:v>
                </c:pt>
                <c:pt idx="7">
                  <c:v>0</c:v>
                </c:pt>
                <c:pt idx="8">
                  <c:v>1.0454917362133858</c:v>
                </c:pt>
                <c:pt idx="9">
                  <c:v>-0.32998469146489046</c:v>
                </c:pt>
                <c:pt idx="10">
                  <c:v>1.1242942206654993</c:v>
                </c:pt>
                <c:pt idx="11">
                  <c:v>4.7756021426608015E-2</c:v>
                </c:pt>
              </c:numCache>
            </c:numRef>
          </c:val>
          <c:extLst>
            <c:ext xmlns:c16="http://schemas.microsoft.com/office/drawing/2014/chart" uri="{C3380CC4-5D6E-409C-BE32-E72D297353CC}">
              <c16:uniqueId val="{00000000-EA1C-4B7B-9B2D-C2BC735AA4B2}"/>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Settore'!$R$2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92-4BD0-92E8-1C5E776C2C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92-4BD0-92E8-1C5E776C2C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92-4BD0-92E8-1C5E776C2C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92-4BD0-92E8-1C5E776C2C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92-4BD0-92E8-1C5E776C2C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92-4BD0-92E8-1C5E776C2C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02A-4FB2-894B-E0B8BFF3E3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02A-4FB2-894B-E0B8BFF3E3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02A-4FB2-894B-E0B8BFF3E3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02A-4FB2-894B-E0B8BFF3E3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02A-4FB2-894B-E0B8BFF3E3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675-425D-8F4D-4E61E30AD95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'Per Settore'!$R$3:$R$14</c:f>
              <c:numCache>
                <c:formatCode>#,##0\ [$€-410]</c:formatCode>
                <c:ptCount val="12"/>
                <c:pt idx="0">
                  <c:v>-116.26708319999995</c:v>
                </c:pt>
                <c:pt idx="1">
                  <c:v>567.30480000000011</c:v>
                </c:pt>
                <c:pt idx="2">
                  <c:v>0</c:v>
                </c:pt>
                <c:pt idx="3">
                  <c:v>0</c:v>
                </c:pt>
                <c:pt idx="4">
                  <c:v>0</c:v>
                </c:pt>
                <c:pt idx="5">
                  <c:v>5558.8907575130188</c:v>
                </c:pt>
                <c:pt idx="6">
                  <c:v>0</c:v>
                </c:pt>
                <c:pt idx="7">
                  <c:v>0</c:v>
                </c:pt>
                <c:pt idx="8">
                  <c:v>255.56</c:v>
                </c:pt>
                <c:pt idx="9">
                  <c:v>-82.342399999999969</c:v>
                </c:pt>
                <c:pt idx="10">
                  <c:v>288.88740000000001</c:v>
                </c:pt>
                <c:pt idx="11">
                  <c:v>775.72834013388456</c:v>
                </c:pt>
              </c:numCache>
            </c:numRef>
          </c:val>
          <c:extLst>
            <c:ext xmlns:c16="http://schemas.microsoft.com/office/drawing/2014/chart" uri="{C3380CC4-5D6E-409C-BE32-E72D297353CC}">
              <c16:uniqueId val="{00000000-ADCD-49DC-9454-E20F7594D5B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3648709536307955"/>
          <c:y val="7.4652230971128594E-2"/>
          <c:w val="0.22147025371828519"/>
          <c:h val="0.88831073199183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6.249048273814764E-2"/>
          <c:y val="0.18527552129862396"/>
          <c:w val="0.6216699199769391"/>
          <c:h val="0.76109474442343783"/>
        </c:manualLayout>
      </c:layout>
      <c:pieChart>
        <c:varyColors val="1"/>
        <c:ser>
          <c:idx val="0"/>
          <c:order val="0"/>
          <c:tx>
            <c:strRef>
              <c:f>'Azionario per Settore'!$C$2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4-49DD-B281-96C5D73D49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4-49DD-B281-96C5D73D49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4-49DD-B281-96C5D73D49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F4-49DD-B281-96C5D73D49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F4-49DD-B281-96C5D73D49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7F4-49DD-B281-96C5D73D49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7F4-49DD-B281-96C5D73D49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7F4-49DD-B281-96C5D73D498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7F4-49DD-B281-96C5D73D498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7F4-49DD-B281-96C5D73D498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7F4-49DD-B281-96C5D73D498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7F4-49DD-B281-96C5D73D498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Settore'!$A$3:$A$14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'Azionario per Settore'!$C$3:$C$14</c:f>
              <c:numCache>
                <c:formatCode>#,##0\ [$€-410]</c:formatCode>
                <c:ptCount val="12"/>
                <c:pt idx="0">
                  <c:v>908.66200157973799</c:v>
                </c:pt>
                <c:pt idx="1">
                  <c:v>0</c:v>
                </c:pt>
                <c:pt idx="2">
                  <c:v>0</c:v>
                </c:pt>
                <c:pt idx="3">
                  <c:v>0</c:v>
                </c:pt>
                <c:pt idx="4">
                  <c:v>0</c:v>
                </c:pt>
                <c:pt idx="5">
                  <c:v>37161.269474515997</c:v>
                </c:pt>
                <c:pt idx="6">
                  <c:v>0</c:v>
                </c:pt>
                <c:pt idx="7">
                  <c:v>0</c:v>
                </c:pt>
                <c:pt idx="8">
                  <c:v>0</c:v>
                </c:pt>
                <c:pt idx="9">
                  <c:v>0</c:v>
                </c:pt>
                <c:pt idx="10">
                  <c:v>0</c:v>
                </c:pt>
                <c:pt idx="11">
                  <c:v>0</c:v>
                </c:pt>
              </c:numCache>
            </c:numRef>
          </c:val>
          <c:extLst>
            <c:ext xmlns:c16="http://schemas.microsoft.com/office/drawing/2014/chart" uri="{C3380CC4-5D6E-409C-BE32-E72D297353CC}">
              <c16:uniqueId val="{00000018-B7F4-49DD-B281-96C5D73D498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9.585338291046952E-2"/>
          <c:w val="0.23990168290547451"/>
          <c:h val="0.87173920968212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'Azionario per Settore'!$S$2</c:f>
              <c:strCache>
                <c:ptCount val="1"/>
                <c:pt idx="0">
                  <c:v>Rendimento medio</c:v>
                </c:pt>
              </c:strCache>
            </c:strRef>
          </c:tx>
          <c:spPr>
            <a:solidFill>
              <a:schemeClr val="accent1"/>
            </a:solidFill>
            <a:ln>
              <a:noFill/>
            </a:ln>
            <a:effectLst/>
          </c:spPr>
          <c:invertIfNegative val="0"/>
          <c:cat>
            <c:strRef>
              <c:f>'Azionario 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'Azionario per Settore'!$S$3:$S$14</c:f>
              <c:numCache>
                <c:formatCode>\+0%;\-0%</c:formatCode>
                <c:ptCount val="12"/>
                <c:pt idx="0">
                  <c:v>-0.23987432061068692</c:v>
                </c:pt>
                <c:pt idx="1">
                  <c:v>1.1299811970170186</c:v>
                </c:pt>
                <c:pt idx="2">
                  <c:v>0</c:v>
                </c:pt>
                <c:pt idx="3">
                  <c:v>0</c:v>
                </c:pt>
                <c:pt idx="4">
                  <c:v>0</c:v>
                </c:pt>
                <c:pt idx="5">
                  <c:v>1.1106712884290257</c:v>
                </c:pt>
                <c:pt idx="6">
                  <c:v>0</c:v>
                </c:pt>
                <c:pt idx="7">
                  <c:v>0</c:v>
                </c:pt>
                <c:pt idx="8">
                  <c:v>1.0454917362133858</c:v>
                </c:pt>
                <c:pt idx="9">
                  <c:v>-0.32998469146489046</c:v>
                </c:pt>
                <c:pt idx="10">
                  <c:v>1.1242942206654993</c:v>
                </c:pt>
                <c:pt idx="11">
                  <c:v>0</c:v>
                </c:pt>
              </c:numCache>
            </c:numRef>
          </c:val>
          <c:extLst>
            <c:ext xmlns:c16="http://schemas.microsoft.com/office/drawing/2014/chart" uri="{C3380CC4-5D6E-409C-BE32-E72D297353CC}">
              <c16:uniqueId val="{00000000-0445-4710-97B0-63E74C277FEF}"/>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'Azionario per Settore'!$R$2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CA-402A-9125-D28CC53E63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CA-402A-9125-D28CC53E63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CA-402A-9125-D28CC53E63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CA-402A-9125-D28CC53E63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CA-402A-9125-D28CC53E63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CA-402A-9125-D28CC53E63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CA-402A-9125-D28CC53E633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CA-402A-9125-D28CC53E633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ECA-402A-9125-D28CC53E633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ECA-402A-9125-D28CC53E633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ECA-402A-9125-D28CC53E633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ECA-402A-9125-D28CC53E633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'Azionario per Settore'!$O$3:$O$14</c:f>
              <c:strCache>
                <c:ptCount val="12"/>
                <c:pt idx="0">
                  <c:v>energia</c:v>
                </c:pt>
                <c:pt idx="1">
                  <c:v>banca</c:v>
                </c:pt>
                <c:pt idx="2">
                  <c:v>farmacia</c:v>
                </c:pt>
                <c:pt idx="3">
                  <c:v>consumo</c:v>
                </c:pt>
                <c:pt idx="4">
                  <c:v>siderurgia</c:v>
                </c:pt>
                <c:pt idx="5">
                  <c:v>tecnologia</c:v>
                </c:pt>
                <c:pt idx="6">
                  <c:v>immobili</c:v>
                </c:pt>
                <c:pt idx="7">
                  <c:v>alimentari</c:v>
                </c:pt>
                <c:pt idx="8">
                  <c:v>industria</c:v>
                </c:pt>
                <c:pt idx="9">
                  <c:v>auto</c:v>
                </c:pt>
                <c:pt idx="10">
                  <c:v>distribuzione</c:v>
                </c:pt>
                <c:pt idx="11">
                  <c:v>governativo</c:v>
                </c:pt>
              </c:strCache>
            </c:strRef>
          </c:cat>
          <c:val>
            <c:numRef>
              <c:f>'Azionario per Settore'!$R$3:$R$14</c:f>
              <c:numCache>
                <c:formatCode>#,##0\ [$€-410]</c:formatCode>
                <c:ptCount val="12"/>
                <c:pt idx="0">
                  <c:v>-116.26708319999995</c:v>
                </c:pt>
                <c:pt idx="1">
                  <c:v>567.30480000000011</c:v>
                </c:pt>
                <c:pt idx="2">
                  <c:v>0</c:v>
                </c:pt>
                <c:pt idx="3">
                  <c:v>0</c:v>
                </c:pt>
                <c:pt idx="4">
                  <c:v>0</c:v>
                </c:pt>
                <c:pt idx="5">
                  <c:v>5558.8907575130188</c:v>
                </c:pt>
                <c:pt idx="6">
                  <c:v>0</c:v>
                </c:pt>
                <c:pt idx="7">
                  <c:v>0</c:v>
                </c:pt>
                <c:pt idx="8">
                  <c:v>255.56</c:v>
                </c:pt>
                <c:pt idx="9">
                  <c:v>-82.342399999999969</c:v>
                </c:pt>
                <c:pt idx="10">
                  <c:v>288.88740000000001</c:v>
                </c:pt>
                <c:pt idx="11">
                  <c:v>0</c:v>
                </c:pt>
              </c:numCache>
            </c:numRef>
          </c:val>
          <c:extLst>
            <c:ext xmlns:c16="http://schemas.microsoft.com/office/drawing/2014/chart" uri="{C3380CC4-5D6E-409C-BE32-E72D297353CC}">
              <c16:uniqueId val="{00000018-3ECA-402A-9125-D28CC53E633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3648709536307955"/>
          <c:y val="7.4652230971128594E-2"/>
          <c:w val="0.22147025371828519"/>
          <c:h val="0.88831073199183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'Obblig per Settore'!$C$2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40-464F-ACCB-4BD607590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40-464F-ACCB-4BD6075904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40-464F-ACCB-4BD6075904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40-464F-ACCB-4BD6075904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40-464F-ACCB-4BD6075904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E40-464F-ACCB-4BD6075904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E40-464F-ACCB-4BD6075904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E40-464F-ACCB-4BD60759047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E40-464F-ACCB-4BD60759047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E40-464F-ACCB-4BD60759047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E40-464F-ACCB-4BD60759047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E40-464F-ACCB-4BD60759047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Settore'!$A$3:$A$14</c:f>
              <c:strCache>
                <c:ptCount val="12"/>
                <c:pt idx="0">
                  <c:v>governativo</c:v>
                </c:pt>
                <c:pt idx="1">
                  <c:v>energia</c:v>
                </c:pt>
                <c:pt idx="2">
                  <c:v>banca</c:v>
                </c:pt>
                <c:pt idx="3">
                  <c:v>farmacia</c:v>
                </c:pt>
                <c:pt idx="4">
                  <c:v>consumo</c:v>
                </c:pt>
                <c:pt idx="5">
                  <c:v>siderurgia</c:v>
                </c:pt>
                <c:pt idx="6">
                  <c:v>tecnologia</c:v>
                </c:pt>
                <c:pt idx="7">
                  <c:v>immobili</c:v>
                </c:pt>
                <c:pt idx="8">
                  <c:v>alimentari</c:v>
                </c:pt>
                <c:pt idx="9">
                  <c:v>industria</c:v>
                </c:pt>
                <c:pt idx="10">
                  <c:v>auto</c:v>
                </c:pt>
                <c:pt idx="11">
                  <c:v>distribuzione</c:v>
                </c:pt>
              </c:strCache>
            </c:strRef>
          </c:cat>
          <c:val>
            <c:numRef>
              <c:f>'Obblig per Settore'!$C$3:$C$14</c:f>
              <c:numCache>
                <c:formatCode>#,##0\ [$€-410]</c:formatCode>
                <c:ptCount val="12"/>
                <c:pt idx="0">
                  <c:v>87165.593860726032</c:v>
                </c:pt>
                <c:pt idx="1">
                  <c:v>0</c:v>
                </c:pt>
                <c:pt idx="2">
                  <c:v>0</c:v>
                </c:pt>
                <c:pt idx="3">
                  <c:v>0</c:v>
                </c:pt>
                <c:pt idx="4">
                  <c:v>0</c:v>
                </c:pt>
                <c:pt idx="5">
                  <c:v>0</c:v>
                </c:pt>
                <c:pt idx="6">
                  <c:v>0</c:v>
                </c:pt>
                <c:pt idx="7">
                  <c:v>0</c:v>
                </c:pt>
                <c:pt idx="8">
                  <c:v>0</c:v>
                </c:pt>
                <c:pt idx="9">
                  <c:v>17921.142033905242</c:v>
                </c:pt>
                <c:pt idx="10">
                  <c:v>0</c:v>
                </c:pt>
                <c:pt idx="11">
                  <c:v>0</c:v>
                </c:pt>
              </c:numCache>
            </c:numRef>
          </c:val>
          <c:extLst>
            <c:ext xmlns:c16="http://schemas.microsoft.com/office/drawing/2014/chart" uri="{C3380CC4-5D6E-409C-BE32-E72D297353CC}">
              <c16:uniqueId val="{00000018-2E40-464F-ACCB-4BD60759047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9.585338291046952E-2"/>
          <c:w val="0.23990168290547451"/>
          <c:h val="0.87173920968212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'Obblig per Settore'!$S$2</c:f>
              <c:strCache>
                <c:ptCount val="1"/>
                <c:pt idx="0">
                  <c:v>Rendimento medio</c:v>
                </c:pt>
              </c:strCache>
            </c:strRef>
          </c:tx>
          <c:spPr>
            <a:solidFill>
              <a:schemeClr val="accent1"/>
            </a:solidFill>
            <a:ln>
              <a:noFill/>
            </a:ln>
            <a:effectLst/>
          </c:spPr>
          <c:invertIfNegative val="0"/>
          <c:cat>
            <c:strRef>
              <c:f>'Obblig per Settore'!$O$3:$O$14</c:f>
              <c:strCache>
                <c:ptCount val="12"/>
                <c:pt idx="0">
                  <c:v>governativo</c:v>
                </c:pt>
                <c:pt idx="1">
                  <c:v>energia</c:v>
                </c:pt>
                <c:pt idx="2">
                  <c:v>banca</c:v>
                </c:pt>
                <c:pt idx="3">
                  <c:v>farmacia</c:v>
                </c:pt>
                <c:pt idx="4">
                  <c:v>consumo</c:v>
                </c:pt>
                <c:pt idx="5">
                  <c:v>siderurgia</c:v>
                </c:pt>
                <c:pt idx="6">
                  <c:v>tecnologia</c:v>
                </c:pt>
                <c:pt idx="7">
                  <c:v>immobili</c:v>
                </c:pt>
                <c:pt idx="8">
                  <c:v>alimentari</c:v>
                </c:pt>
                <c:pt idx="9">
                  <c:v>industria</c:v>
                </c:pt>
                <c:pt idx="10">
                  <c:v>auto</c:v>
                </c:pt>
                <c:pt idx="11">
                  <c:v>distribuzione</c:v>
                </c:pt>
              </c:strCache>
            </c:strRef>
          </c:cat>
          <c:val>
            <c:numRef>
              <c:f>'Obblig per Settore'!$S$3:$S$14</c:f>
              <c:numCache>
                <c:formatCode>\+0%;\-0%</c:formatCode>
                <c:ptCount val="12"/>
                <c:pt idx="0">
                  <c:v>4.7756021426608015E-2</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6FC-46DA-B6B7-4207342D9D40}"/>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'Obblig per Settore'!$R$2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EE-4E81-8F8C-9B4F843AA7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EE-4E81-8F8C-9B4F843AA7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EE-4E81-8F8C-9B4F843AA7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EE-4E81-8F8C-9B4F843AA7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EE-4E81-8F8C-9B4F843AA7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4EE-4E81-8F8C-9B4F843AA78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4EE-4E81-8F8C-9B4F843AA78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4EE-4E81-8F8C-9B4F843AA78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4EE-4E81-8F8C-9B4F843AA78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4EE-4E81-8F8C-9B4F843AA78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4EE-4E81-8F8C-9B4F843AA78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4EE-4E81-8F8C-9B4F843AA78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'Obblig per Settore'!$O$3:$O$14</c:f>
              <c:strCache>
                <c:ptCount val="12"/>
                <c:pt idx="0">
                  <c:v>governativo</c:v>
                </c:pt>
                <c:pt idx="1">
                  <c:v>energia</c:v>
                </c:pt>
                <c:pt idx="2">
                  <c:v>banca</c:v>
                </c:pt>
                <c:pt idx="3">
                  <c:v>farmacia</c:v>
                </c:pt>
                <c:pt idx="4">
                  <c:v>consumo</c:v>
                </c:pt>
                <c:pt idx="5">
                  <c:v>siderurgia</c:v>
                </c:pt>
                <c:pt idx="6">
                  <c:v>tecnologia</c:v>
                </c:pt>
                <c:pt idx="7">
                  <c:v>immobili</c:v>
                </c:pt>
                <c:pt idx="8">
                  <c:v>alimentari</c:v>
                </c:pt>
                <c:pt idx="9">
                  <c:v>industria</c:v>
                </c:pt>
                <c:pt idx="10">
                  <c:v>auto</c:v>
                </c:pt>
                <c:pt idx="11">
                  <c:v>distribuzione</c:v>
                </c:pt>
              </c:strCache>
            </c:strRef>
          </c:cat>
          <c:val>
            <c:numRef>
              <c:f>'Obblig per Settore'!$R$3:$R$14</c:f>
              <c:numCache>
                <c:formatCode>#,##0\ [$€-410]</c:formatCode>
                <c:ptCount val="12"/>
                <c:pt idx="0">
                  <c:v>775.72834013388456</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8-84EE-4E81-8F8C-9B4F843AA78E}"/>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3648709536307955"/>
          <c:y val="7.4652230971128594E-2"/>
          <c:w val="0.22147025371828519"/>
          <c:h val="0.888310731991834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Emittente'!$C$2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4F-4596-B511-A9D33274E3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4F-4596-B511-A9D33274E3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4F-4596-B511-A9D33274E3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4F-4596-B511-A9D33274E3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4F-4596-B511-A9D33274E3C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4F-4596-B511-A9D33274E3C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A4F-4596-B511-A9D33274E3C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A4F-4596-B511-A9D33274E3C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A4F-4596-B511-A9D33274E3C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49A-4908-BC0E-5AEF3DCD1F5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DB0-491D-A937-4FDB6632240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Emittente'!$A$3:$A$13</c:f>
              <c:strCache>
                <c:ptCount val="11"/>
                <c:pt idx="0">
                  <c:v>ishares</c:v>
                </c:pt>
                <c:pt idx="1">
                  <c:v>Lyxor</c:v>
                </c:pt>
                <c:pt idx="2">
                  <c:v>UBS</c:v>
                </c:pt>
                <c:pt idx="3">
                  <c:v>Amundi</c:v>
                </c:pt>
                <c:pt idx="4">
                  <c:v>Deutsche Bank</c:v>
                </c:pt>
                <c:pt idx="5">
                  <c:v>Franklin</c:v>
                </c:pt>
                <c:pt idx="6">
                  <c:v>Vanguard</c:v>
                </c:pt>
                <c:pt idx="7">
                  <c:v>Invesco</c:v>
                </c:pt>
                <c:pt idx="8">
                  <c:v>Italia</c:v>
                </c:pt>
                <c:pt idx="9">
                  <c:v>ICBCCS</c:v>
                </c:pt>
                <c:pt idx="10">
                  <c:v>Xtrackers</c:v>
                </c:pt>
              </c:strCache>
            </c:strRef>
          </c:cat>
          <c:val>
            <c:numRef>
              <c:f>'Per Emittente'!$C$3:$C$13</c:f>
              <c:numCache>
                <c:formatCode>#,##0\ [$€-410]</c:formatCode>
                <c:ptCount val="11"/>
                <c:pt idx="0">
                  <c:v>31902.76206035725</c:v>
                </c:pt>
                <c:pt idx="1">
                  <c:v>0</c:v>
                </c:pt>
                <c:pt idx="2">
                  <c:v>0</c:v>
                </c:pt>
                <c:pt idx="3">
                  <c:v>15370.770028865618</c:v>
                </c:pt>
                <c:pt idx="4">
                  <c:v>0</c:v>
                </c:pt>
                <c:pt idx="5">
                  <c:v>0</c:v>
                </c:pt>
                <c:pt idx="6">
                  <c:v>52019.200098415815</c:v>
                </c:pt>
                <c:pt idx="7">
                  <c:v>5593.2000105818479</c:v>
                </c:pt>
                <c:pt idx="8">
                  <c:v>40911.239573472427</c:v>
                </c:pt>
                <c:pt idx="9">
                  <c:v>0</c:v>
                </c:pt>
                <c:pt idx="10">
                  <c:v>38988.511273762873</c:v>
                </c:pt>
              </c:numCache>
            </c:numRef>
          </c:val>
          <c:extLst>
            <c:ext xmlns:c16="http://schemas.microsoft.com/office/drawing/2014/chart" uri="{C3380CC4-5D6E-409C-BE32-E72D297353CC}">
              <c16:uniqueId val="{00000012-BA4F-4596-B511-A9D33274E3C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5.4186716243802856E-2"/>
          <c:w val="0.26842217400811991"/>
          <c:h val="0.927294765237678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Emittente'!$S$2</c:f>
              <c:strCache>
                <c:ptCount val="1"/>
                <c:pt idx="0">
                  <c:v>Rendimento medio</c:v>
                </c:pt>
              </c:strCache>
            </c:strRef>
          </c:tx>
          <c:spPr>
            <a:solidFill>
              <a:schemeClr val="accent1"/>
            </a:solidFill>
            <a:ln>
              <a:noFill/>
            </a:ln>
            <a:effectLst/>
          </c:spPr>
          <c:invertIfNegative val="0"/>
          <c:cat>
            <c:strRef>
              <c:f>'Per Emittente'!$O$3:$O$13</c:f>
              <c:strCache>
                <c:ptCount val="11"/>
                <c:pt idx="0">
                  <c:v>ishares</c:v>
                </c:pt>
                <c:pt idx="1">
                  <c:v>Lyxor</c:v>
                </c:pt>
                <c:pt idx="2">
                  <c:v>UBS</c:v>
                </c:pt>
                <c:pt idx="3">
                  <c:v>Amundi</c:v>
                </c:pt>
                <c:pt idx="4">
                  <c:v>Deutsche Bank</c:v>
                </c:pt>
                <c:pt idx="5">
                  <c:v>Franklin</c:v>
                </c:pt>
                <c:pt idx="6">
                  <c:v>Vanguard</c:v>
                </c:pt>
                <c:pt idx="7">
                  <c:v>Invesco</c:v>
                </c:pt>
                <c:pt idx="8">
                  <c:v>Italia</c:v>
                </c:pt>
                <c:pt idx="9">
                  <c:v>ICBCCS</c:v>
                </c:pt>
                <c:pt idx="10">
                  <c:v>Xtrackers</c:v>
                </c:pt>
              </c:strCache>
            </c:strRef>
          </c:cat>
          <c:val>
            <c:numRef>
              <c:f>'Per Emittente'!$S$3:$S$13</c:f>
              <c:numCache>
                <c:formatCode>\+0%;\-0%</c:formatCode>
                <c:ptCount val="11"/>
                <c:pt idx="0">
                  <c:v>0.22620785246119135</c:v>
                </c:pt>
                <c:pt idx="1">
                  <c:v>0</c:v>
                </c:pt>
                <c:pt idx="2">
                  <c:v>0</c:v>
                </c:pt>
                <c:pt idx="3">
                  <c:v>1.0011439633931711</c:v>
                </c:pt>
                <c:pt idx="4">
                  <c:v>0</c:v>
                </c:pt>
                <c:pt idx="5">
                  <c:v>0</c:v>
                </c:pt>
                <c:pt idx="6">
                  <c:v>0.28202305978102871</c:v>
                </c:pt>
                <c:pt idx="7">
                  <c:v>0</c:v>
                </c:pt>
                <c:pt idx="8">
                  <c:v>0.15888815815081891</c:v>
                </c:pt>
                <c:pt idx="9">
                  <c:v>0</c:v>
                </c:pt>
                <c:pt idx="10">
                  <c:v>1.2083055529098004</c:v>
                </c:pt>
              </c:numCache>
            </c:numRef>
          </c:val>
          <c:extLst>
            <c:ext xmlns:c16="http://schemas.microsoft.com/office/drawing/2014/chart" uri="{C3380CC4-5D6E-409C-BE32-E72D297353CC}">
              <c16:uniqueId val="{00000000-F951-4539-BD96-25718EB21F09}"/>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Emittente'!$R$2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46-4F3F-AB38-9F4FD5084D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46-4F3F-AB38-9F4FD5084D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46-4F3F-AB38-9F4FD5084D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46-4F3F-AB38-9F4FD5084D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46-4F3F-AB38-9F4FD5084D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46-4F3F-AB38-9F4FD5084D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F28-4102-BEFF-92B2295F2E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F28-4102-BEFF-92B2295F2E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F28-4102-BEFF-92B2295F2E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F28-4102-BEFF-92B2295F2EF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8BE-4598-BC73-A03D0F43B7A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Emittente'!$O$3:$O$13</c:f>
              <c:strCache>
                <c:ptCount val="11"/>
                <c:pt idx="0">
                  <c:v>ishares</c:v>
                </c:pt>
                <c:pt idx="1">
                  <c:v>Lyxor</c:v>
                </c:pt>
                <c:pt idx="2">
                  <c:v>UBS</c:v>
                </c:pt>
                <c:pt idx="3">
                  <c:v>Amundi</c:v>
                </c:pt>
                <c:pt idx="4">
                  <c:v>Deutsche Bank</c:v>
                </c:pt>
                <c:pt idx="5">
                  <c:v>Franklin</c:v>
                </c:pt>
                <c:pt idx="6">
                  <c:v>Vanguard</c:v>
                </c:pt>
                <c:pt idx="7">
                  <c:v>Invesco</c:v>
                </c:pt>
                <c:pt idx="8">
                  <c:v>Italia</c:v>
                </c:pt>
                <c:pt idx="9">
                  <c:v>ICBCCS</c:v>
                </c:pt>
                <c:pt idx="10">
                  <c:v>Xtrackers</c:v>
                </c:pt>
              </c:strCache>
            </c:strRef>
          </c:cat>
          <c:val>
            <c:numRef>
              <c:f>'Per Emittente'!$R$3:$R$13</c:f>
              <c:numCache>
                <c:formatCode>#,##0\ [$€-410]</c:formatCode>
                <c:ptCount val="11"/>
                <c:pt idx="0">
                  <c:v>340.98571679999986</c:v>
                </c:pt>
                <c:pt idx="1">
                  <c:v>0</c:v>
                </c:pt>
                <c:pt idx="2">
                  <c:v>0</c:v>
                </c:pt>
                <c:pt idx="3">
                  <c:v>568.84999999999991</c:v>
                </c:pt>
                <c:pt idx="4">
                  <c:v>0</c:v>
                </c:pt>
                <c:pt idx="5">
                  <c:v>0</c:v>
                </c:pt>
                <c:pt idx="6">
                  <c:v>145.5379999999999</c:v>
                </c:pt>
                <c:pt idx="7">
                  <c:v>0</c:v>
                </c:pt>
                <c:pt idx="8">
                  <c:v>1352.9662000000008</c:v>
                </c:pt>
                <c:pt idx="9">
                  <c:v>0</c:v>
                </c:pt>
                <c:pt idx="10">
                  <c:v>634.29999999999973</c:v>
                </c:pt>
              </c:numCache>
            </c:numRef>
          </c:val>
          <c:extLst>
            <c:ext xmlns:c16="http://schemas.microsoft.com/office/drawing/2014/chart" uri="{C3380CC4-5D6E-409C-BE32-E72D297353CC}">
              <c16:uniqueId val="{0000000C-5046-4F3F-AB38-9F4FD5084D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7537598425196852"/>
          <c:y val="4.2244823563721209E-2"/>
          <c:w val="0.1825813648293963"/>
          <c:h val="0.93923665791776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7.9531466719590521E-2"/>
          <c:y val="0.22397382618839312"/>
          <c:w val="0.61919697537807772"/>
          <c:h val="0.72239647127442408"/>
        </c:manualLayout>
      </c:layout>
      <c:pieChart>
        <c:varyColors val="1"/>
        <c:ser>
          <c:idx val="0"/>
          <c:order val="0"/>
          <c:tx>
            <c:strRef>
              <c:f>'Per valuta (2)'!$C$2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65-4FA0-AB68-2B86E6D249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65-4FA0-AB68-2B86E6D249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5-4FA0-AB68-2B86E6D249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65-4FA0-AB68-2B86E6D249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65-4FA0-AB68-2B86E6D2499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65-4FA0-AB68-2B86E6D2499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EDE-4625-9569-66C9BA25A5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EDE-4625-9569-66C9BA25A5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EDE-4625-9569-66C9BA25A5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EDE-4625-9569-66C9BA25A58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EDE-4625-9569-66C9BA25A58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EDE-4625-9569-66C9BA25A58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EDE-4625-9569-66C9BA25A58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 (2)'!$A$3:$A$12</c:f>
              <c:strCache>
                <c:ptCount val="9"/>
                <c:pt idx="0">
                  <c:v>BTC</c:v>
                </c:pt>
                <c:pt idx="1">
                  <c:v>ETH</c:v>
                </c:pt>
                <c:pt idx="2">
                  <c:v>LUNA</c:v>
                </c:pt>
                <c:pt idx="3">
                  <c:v>MATIC</c:v>
                </c:pt>
                <c:pt idx="4">
                  <c:v>DOGE</c:v>
                </c:pt>
                <c:pt idx="5">
                  <c:v>XTZ</c:v>
                </c:pt>
                <c:pt idx="6">
                  <c:v>UST</c:v>
                </c:pt>
                <c:pt idx="7">
                  <c:v>LUNC</c:v>
                </c:pt>
                <c:pt idx="8">
                  <c:v>USDC</c:v>
                </c:pt>
              </c:strCache>
            </c:strRef>
          </c:cat>
          <c:val>
            <c:numRef>
              <c:f>'Per valuta (2)'!$C$3:$C$15</c:f>
              <c:numCache>
                <c:formatCode>#,##0\ [$€-410]</c:formatCode>
                <c:ptCount val="1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C-F165-4FA0-AB68-2B86E6D249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1413681582752508"/>
          <c:y val="0.15603856809565472"/>
          <c:w val="0.23990168290547451"/>
          <c:h val="0.783776246719160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valuta (2)'!$S$2</c:f>
              <c:strCache>
                <c:ptCount val="1"/>
                <c:pt idx="0">
                  <c:v>Rendimento medio</c:v>
                </c:pt>
              </c:strCache>
            </c:strRef>
          </c:tx>
          <c:spPr>
            <a:solidFill>
              <a:schemeClr val="accent1"/>
            </a:solidFill>
            <a:ln>
              <a:noFill/>
            </a:ln>
            <a:effectLst/>
          </c:spPr>
          <c:invertIfNegative val="0"/>
          <c:cat>
            <c:strRef>
              <c:f>'Per valuta (2)'!$O$3:$O$15</c:f>
              <c:strCache>
                <c:ptCount val="9"/>
                <c:pt idx="0">
                  <c:v>BTC</c:v>
                </c:pt>
                <c:pt idx="1">
                  <c:v>ETH</c:v>
                </c:pt>
                <c:pt idx="2">
                  <c:v>LUNA</c:v>
                </c:pt>
                <c:pt idx="3">
                  <c:v>MATIC</c:v>
                </c:pt>
                <c:pt idx="4">
                  <c:v>DOGE</c:v>
                </c:pt>
                <c:pt idx="5">
                  <c:v>XTZ</c:v>
                </c:pt>
                <c:pt idx="6">
                  <c:v>UST</c:v>
                </c:pt>
                <c:pt idx="7">
                  <c:v>LUNC</c:v>
                </c:pt>
                <c:pt idx="8">
                  <c:v>USDC</c:v>
                </c:pt>
              </c:strCache>
            </c:strRef>
          </c:cat>
          <c:val>
            <c:numRef>
              <c:f>'Per valuta (2)'!$S$3:$S$15</c:f>
              <c:numCache>
                <c:formatCode>\+0%;\-0%</c:formatCode>
                <c:ptCount val="1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D9BF-4BD9-B00D-ACF0CD45230D}"/>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5419335083114608"/>
          <c:y val="0.21899460484106154"/>
          <c:w val="0.41383552055993"/>
          <c:h val="0.6897258675998833"/>
        </c:manualLayout>
      </c:layout>
      <c:pieChart>
        <c:varyColors val="1"/>
        <c:ser>
          <c:idx val="0"/>
          <c:order val="0"/>
          <c:tx>
            <c:strRef>
              <c:f>'Per valuta (2)'!$R$2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B3-4226-8BF0-99563ABB58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B3-4226-8BF0-99563ABB58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B3-4226-8BF0-99563ABB58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B3-4226-8BF0-99563ABB58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B3-4226-8BF0-99563ABB58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B3-4226-8BF0-99563ABB58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08E-4A72-8C1E-48FF6184FEA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08E-4A72-8C1E-48FF6184FEA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08E-4A72-8C1E-48FF6184FEA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08E-4A72-8C1E-48FF6184FEA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08E-4A72-8C1E-48FF6184FEA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08E-4A72-8C1E-48FF6184FEA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08E-4A72-8C1E-48FF6184FEAD}"/>
              </c:ext>
            </c:extLst>
          </c:dPt>
          <c:dLbls>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B3-4226-8BF0-99563ABB58D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valuta (2)'!$O$3:$O$15</c:f>
              <c:strCache>
                <c:ptCount val="9"/>
                <c:pt idx="0">
                  <c:v>BTC</c:v>
                </c:pt>
                <c:pt idx="1">
                  <c:v>ETH</c:v>
                </c:pt>
                <c:pt idx="2">
                  <c:v>LUNA</c:v>
                </c:pt>
                <c:pt idx="3">
                  <c:v>MATIC</c:v>
                </c:pt>
                <c:pt idx="4">
                  <c:v>DOGE</c:v>
                </c:pt>
                <c:pt idx="5">
                  <c:v>XTZ</c:v>
                </c:pt>
                <c:pt idx="6">
                  <c:v>UST</c:v>
                </c:pt>
                <c:pt idx="7">
                  <c:v>LUNC</c:v>
                </c:pt>
                <c:pt idx="8">
                  <c:v>USDC</c:v>
                </c:pt>
              </c:strCache>
            </c:strRef>
          </c:cat>
          <c:val>
            <c:numRef>
              <c:f>'Per valuta (2)'!$R$3:$R$15</c:f>
              <c:numCache>
                <c:formatCode>#,##0\ [$€-410]</c:formatCode>
                <c:ptCount val="13"/>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C-CFB3-4226-8BF0-99563ABB58D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82530096237970252"/>
          <c:y val="0.25057815689705448"/>
          <c:w val="0.13273140857392826"/>
          <c:h val="0.4670144356955380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10562442142864924"/>
          <c:y val="0.22397381361812535"/>
          <c:w val="0.61919697537807772"/>
          <c:h val="0.72239647127442408"/>
        </c:manualLayout>
      </c:layout>
      <c:pieChart>
        <c:varyColors val="1"/>
        <c:ser>
          <c:idx val="0"/>
          <c:order val="0"/>
          <c:tx>
            <c:strRef>
              <c:f>'Per Intermediario (2)'!$C$2</c:f>
              <c:strCache>
                <c:ptCount val="1"/>
                <c:pt idx="0">
                  <c:v>Valore totale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F5-4F4B-8A60-6F7C049A9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F5-4F4B-8A60-6F7C049A9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F5-4F4B-8A60-6F7C049A9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F5-4F4B-8A60-6F7C049A9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FF5-4F4B-8A60-6F7C049A9A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FF5-4F4B-8A60-6F7C049A9A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FF5-4F4B-8A60-6F7C049A9A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FF5-4F4B-8A60-6F7C049A9A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FF5-4F4B-8A60-6F7C049A9A8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 (2)'!$A$3:$A$11</c:f>
              <c:strCache>
                <c:ptCount val="8"/>
                <c:pt idx="0">
                  <c:v>Electrum</c:v>
                </c:pt>
                <c:pt idx="1">
                  <c:v>Exodus</c:v>
                </c:pt>
                <c:pt idx="2">
                  <c:v>Trust Wallet</c:v>
                </c:pt>
                <c:pt idx="3">
                  <c:v>Coinbase Wallet</c:v>
                </c:pt>
                <c:pt idx="4">
                  <c:v>Terra station</c:v>
                </c:pt>
                <c:pt idx="5">
                  <c:v>Binance</c:v>
                </c:pt>
                <c:pt idx="6">
                  <c:v>Phantom</c:v>
                </c:pt>
                <c:pt idx="7">
                  <c:v>Hodlnaut</c:v>
                </c:pt>
              </c:strCache>
            </c:strRef>
          </c:cat>
          <c:val>
            <c:numRef>
              <c:f>'Per Intermediario (2)'!$C$3:$C$11</c:f>
              <c:numCache>
                <c:formatCode>#,##0\ [$€-410]</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12-6FF5-4F4B-8A60-6F7C049A9A8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68300454144476752"/>
          <c:y val="6.8075542281352763E-2"/>
          <c:w val="0.30422910525645686"/>
          <c:h val="0.8578503207932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barChart>
        <c:barDir val="col"/>
        <c:grouping val="clustered"/>
        <c:varyColors val="0"/>
        <c:ser>
          <c:idx val="0"/>
          <c:order val="0"/>
          <c:tx>
            <c:strRef>
              <c:f>'Per Intermediario (2)'!$S$2</c:f>
              <c:strCache>
                <c:ptCount val="1"/>
                <c:pt idx="0">
                  <c:v>Rendimento medio</c:v>
                </c:pt>
              </c:strCache>
            </c:strRef>
          </c:tx>
          <c:spPr>
            <a:solidFill>
              <a:schemeClr val="accent1"/>
            </a:solidFill>
            <a:ln>
              <a:noFill/>
            </a:ln>
            <a:effectLst/>
          </c:spPr>
          <c:invertIfNegative val="0"/>
          <c:cat>
            <c:strRef>
              <c:f>'Per Intermediario (2)'!$O$3:$O$11</c:f>
              <c:strCache>
                <c:ptCount val="8"/>
                <c:pt idx="0">
                  <c:v>Electrum</c:v>
                </c:pt>
                <c:pt idx="1">
                  <c:v>Exodus</c:v>
                </c:pt>
                <c:pt idx="2">
                  <c:v>Trust Wallet</c:v>
                </c:pt>
                <c:pt idx="3">
                  <c:v>Coinbase Wallet</c:v>
                </c:pt>
                <c:pt idx="4">
                  <c:v>Terra station</c:v>
                </c:pt>
                <c:pt idx="5">
                  <c:v>Binance</c:v>
                </c:pt>
                <c:pt idx="6">
                  <c:v>Phantom</c:v>
                </c:pt>
                <c:pt idx="7">
                  <c:v>Hodlnaut</c:v>
                </c:pt>
              </c:strCache>
            </c:strRef>
          </c:cat>
          <c:val>
            <c:numRef>
              <c:f>'Per Intermediario (2)'!$S$3:$S$11</c:f>
              <c:numCache>
                <c:formatCode>\+0%;\-0%</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4AC-4E69-B33A-D0C6AB47A581}"/>
            </c:ext>
          </c:extLst>
        </c:ser>
        <c:dLbls>
          <c:showLegendKey val="0"/>
          <c:showVal val="0"/>
          <c:showCatName val="0"/>
          <c:showSerName val="0"/>
          <c:showPercent val="0"/>
          <c:showBubbleSize val="0"/>
        </c:dLbls>
        <c:gapWidth val="219"/>
        <c:overlap val="-27"/>
        <c:axId val="640659496"/>
        <c:axId val="640659824"/>
      </c:barChart>
      <c:catAx>
        <c:axId val="64065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824"/>
        <c:crosses val="autoZero"/>
        <c:auto val="1"/>
        <c:lblAlgn val="ctr"/>
        <c:lblOffset val="100"/>
        <c:noMultiLvlLbl val="0"/>
      </c:catAx>
      <c:valAx>
        <c:axId val="640659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640659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manualLayout>
          <c:layoutTarget val="inner"/>
          <c:xMode val="edge"/>
          <c:yMode val="edge"/>
          <c:x val="0.24863779527559055"/>
          <c:y val="0.21899460484106154"/>
          <c:w val="0.41939107611548554"/>
          <c:h val="0.6989851268591426"/>
        </c:manualLayout>
      </c:layout>
      <c:pieChart>
        <c:varyColors val="1"/>
        <c:ser>
          <c:idx val="0"/>
          <c:order val="0"/>
          <c:tx>
            <c:strRef>
              <c:f>'Per Intermediario (2)'!$R$2</c:f>
              <c:strCache>
                <c:ptCount val="1"/>
                <c:pt idx="0">
                  <c:v>Plusvalenza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B0-427D-B71B-C798B9C15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B0-427D-B71B-C798B9C15F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B0-427D-B71B-C798B9C15F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B0-427D-B71B-C798B9C15F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B0-427D-B71B-C798B9C15F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B0-427D-B71B-C798B9C15F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5C-46A0-AC51-6E0F829322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05C-46A0-AC51-6E0F829322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05C-46A0-AC51-6E0F8293225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Intermediario (2)'!$O$3:$O$11</c:f>
              <c:strCache>
                <c:ptCount val="8"/>
                <c:pt idx="0">
                  <c:v>Electrum</c:v>
                </c:pt>
                <c:pt idx="1">
                  <c:v>Exodus</c:v>
                </c:pt>
                <c:pt idx="2">
                  <c:v>Trust Wallet</c:v>
                </c:pt>
                <c:pt idx="3">
                  <c:v>Coinbase Wallet</c:v>
                </c:pt>
                <c:pt idx="4">
                  <c:v>Terra station</c:v>
                </c:pt>
                <c:pt idx="5">
                  <c:v>Binance</c:v>
                </c:pt>
                <c:pt idx="6">
                  <c:v>Phantom</c:v>
                </c:pt>
                <c:pt idx="7">
                  <c:v>Hodlnaut</c:v>
                </c:pt>
              </c:strCache>
            </c:strRef>
          </c:cat>
          <c:val>
            <c:numRef>
              <c:f>'Per Intermediario (2)'!$R$3:$R$11</c:f>
              <c:numCache>
                <c:formatCode>#,##0\ [$€-410]</c:formatCode>
                <c:ptCount val="9"/>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B9B0-427D-B71B-C798B9C15FE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74482042869641296"/>
          <c:y val="6.0763342082239706E-2"/>
          <c:w val="0.21313692038495188"/>
          <c:h val="0.9068292505103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7</xdr:col>
      <xdr:colOff>114300</xdr:colOff>
      <xdr:row>1</xdr:row>
      <xdr:rowOff>123825</xdr:rowOff>
    </xdr:from>
    <xdr:to>
      <xdr:col>14</xdr:col>
      <xdr:colOff>514350</xdr:colOff>
      <xdr:row>44</xdr:row>
      <xdr:rowOff>9525</xdr:rowOff>
    </xdr:to>
    <xdr:graphicFrame macro="">
      <xdr:nvGraphicFramePr>
        <xdr:cNvPr id="2" name="Chart 1">
          <a:extLst>
            <a:ext uri="{FF2B5EF4-FFF2-40B4-BE49-F238E27FC236}">
              <a16:creationId xmlns:a16="http://schemas.microsoft.com/office/drawing/2014/main" id="{498BEEAF-3DA3-4998-BF73-BB9F96026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47625</xdr:colOff>
      <xdr:row>1</xdr:row>
      <xdr:rowOff>190500</xdr:rowOff>
    </xdr:from>
    <xdr:to>
      <xdr:col>28</xdr:col>
      <xdr:colOff>352425</xdr:colOff>
      <xdr:row>15</xdr:row>
      <xdr:rowOff>38100</xdr:rowOff>
    </xdr:to>
    <xdr:graphicFrame macro="">
      <xdr:nvGraphicFramePr>
        <xdr:cNvPr id="3" name="Chart 2">
          <a:extLst>
            <a:ext uri="{FF2B5EF4-FFF2-40B4-BE49-F238E27FC236}">
              <a16:creationId xmlns:a16="http://schemas.microsoft.com/office/drawing/2014/main" id="{5FD24F76-C020-400E-861B-1A82CEB4F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66675</xdr:colOff>
      <xdr:row>16</xdr:row>
      <xdr:rowOff>57149</xdr:rowOff>
    </xdr:from>
    <xdr:to>
      <xdr:col>30</xdr:col>
      <xdr:colOff>285750</xdr:colOff>
      <xdr:row>55</xdr:row>
      <xdr:rowOff>28575</xdr:rowOff>
    </xdr:to>
    <xdr:graphicFrame macro="">
      <xdr:nvGraphicFramePr>
        <xdr:cNvPr id="4" name="Chart 3">
          <a:extLst>
            <a:ext uri="{FF2B5EF4-FFF2-40B4-BE49-F238E27FC236}">
              <a16:creationId xmlns:a16="http://schemas.microsoft.com/office/drawing/2014/main" id="{743269B4-D837-42AB-A808-0CDEAF729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1</xdr:row>
      <xdr:rowOff>123825</xdr:rowOff>
    </xdr:from>
    <xdr:to>
      <xdr:col>11</xdr:col>
      <xdr:colOff>266700</xdr:colOff>
      <xdr:row>14</xdr:row>
      <xdr:rowOff>161925</xdr:rowOff>
    </xdr:to>
    <xdr:graphicFrame macro="">
      <xdr:nvGraphicFramePr>
        <xdr:cNvPr id="2" name="Chart 1">
          <a:extLst>
            <a:ext uri="{FF2B5EF4-FFF2-40B4-BE49-F238E27FC236}">
              <a16:creationId xmlns:a16="http://schemas.microsoft.com/office/drawing/2014/main" id="{9C1E9D6E-F6D6-E9A2-76F8-A023090D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7AB870AA-6A24-4942-9860-BB8D53D38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66675</xdr:colOff>
      <xdr:row>16</xdr:row>
      <xdr:rowOff>57150</xdr:rowOff>
    </xdr:from>
    <xdr:to>
      <xdr:col>25</xdr:col>
      <xdr:colOff>552450</xdr:colOff>
      <xdr:row>30</xdr:row>
      <xdr:rowOff>133350</xdr:rowOff>
    </xdr:to>
    <xdr:graphicFrame macro="">
      <xdr:nvGraphicFramePr>
        <xdr:cNvPr id="4" name="Chart 3">
          <a:extLst>
            <a:ext uri="{FF2B5EF4-FFF2-40B4-BE49-F238E27FC236}">
              <a16:creationId xmlns:a16="http://schemas.microsoft.com/office/drawing/2014/main" id="{2B4F41D0-0017-EB73-8F8B-651A7C3C5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12</xdr:col>
      <xdr:colOff>19050</xdr:colOff>
      <xdr:row>15</xdr:row>
      <xdr:rowOff>161925</xdr:rowOff>
    </xdr:to>
    <xdr:graphicFrame macro="">
      <xdr:nvGraphicFramePr>
        <xdr:cNvPr id="2" name="Chart 1">
          <a:extLst>
            <a:ext uri="{FF2B5EF4-FFF2-40B4-BE49-F238E27FC236}">
              <a16:creationId xmlns:a16="http://schemas.microsoft.com/office/drawing/2014/main" id="{F8FC07DE-33D2-4586-8C47-31E8DF9FC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16</xdr:row>
      <xdr:rowOff>38100</xdr:rowOff>
    </xdr:to>
    <xdr:graphicFrame macro="">
      <xdr:nvGraphicFramePr>
        <xdr:cNvPr id="3" name="Chart 2">
          <a:extLst>
            <a:ext uri="{FF2B5EF4-FFF2-40B4-BE49-F238E27FC236}">
              <a16:creationId xmlns:a16="http://schemas.microsoft.com/office/drawing/2014/main" id="{1191A26E-02DF-45C9-836E-DB92E72B9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142874</xdr:colOff>
      <xdr:row>18</xdr:row>
      <xdr:rowOff>19050</xdr:rowOff>
    </xdr:from>
    <xdr:to>
      <xdr:col>26</xdr:col>
      <xdr:colOff>266699</xdr:colOff>
      <xdr:row>32</xdr:row>
      <xdr:rowOff>95250</xdr:rowOff>
    </xdr:to>
    <xdr:graphicFrame macro="">
      <xdr:nvGraphicFramePr>
        <xdr:cNvPr id="5" name="Chart 4">
          <a:extLst>
            <a:ext uri="{FF2B5EF4-FFF2-40B4-BE49-F238E27FC236}">
              <a16:creationId xmlns:a16="http://schemas.microsoft.com/office/drawing/2014/main" id="{BE14D438-B7FD-4A29-B56B-BD6DE4D23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12</xdr:col>
      <xdr:colOff>19050</xdr:colOff>
      <xdr:row>14</xdr:row>
      <xdr:rowOff>161925</xdr:rowOff>
    </xdr:to>
    <xdr:graphicFrame macro="">
      <xdr:nvGraphicFramePr>
        <xdr:cNvPr id="2" name="Chart 1">
          <a:extLst>
            <a:ext uri="{FF2B5EF4-FFF2-40B4-BE49-F238E27FC236}">
              <a16:creationId xmlns:a16="http://schemas.microsoft.com/office/drawing/2014/main" id="{17487472-60B0-4E88-81CB-25996AF44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92360303-4938-48F8-A543-DE37830CE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142875</xdr:colOff>
      <xdr:row>16</xdr:row>
      <xdr:rowOff>180975</xdr:rowOff>
    </xdr:from>
    <xdr:to>
      <xdr:col>27</xdr:col>
      <xdr:colOff>447675</xdr:colOff>
      <xdr:row>31</xdr:row>
      <xdr:rowOff>66675</xdr:rowOff>
    </xdr:to>
    <xdr:graphicFrame macro="">
      <xdr:nvGraphicFramePr>
        <xdr:cNvPr id="4" name="Chart 3">
          <a:extLst>
            <a:ext uri="{FF2B5EF4-FFF2-40B4-BE49-F238E27FC236}">
              <a16:creationId xmlns:a16="http://schemas.microsoft.com/office/drawing/2014/main" id="{39B82BD9-7EFA-CB0A-919E-1D0321216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12</xdr:col>
      <xdr:colOff>19050</xdr:colOff>
      <xdr:row>15</xdr:row>
      <xdr:rowOff>161925</xdr:rowOff>
    </xdr:to>
    <xdr:graphicFrame macro="">
      <xdr:nvGraphicFramePr>
        <xdr:cNvPr id="2" name="Chart 1">
          <a:extLst>
            <a:ext uri="{FF2B5EF4-FFF2-40B4-BE49-F238E27FC236}">
              <a16:creationId xmlns:a16="http://schemas.microsoft.com/office/drawing/2014/main" id="{5C431754-EB98-45EC-91C5-2CC7289E1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16</xdr:row>
      <xdr:rowOff>38100</xdr:rowOff>
    </xdr:to>
    <xdr:graphicFrame macro="">
      <xdr:nvGraphicFramePr>
        <xdr:cNvPr id="3" name="Chart 2">
          <a:extLst>
            <a:ext uri="{FF2B5EF4-FFF2-40B4-BE49-F238E27FC236}">
              <a16:creationId xmlns:a16="http://schemas.microsoft.com/office/drawing/2014/main" id="{9688C770-2BC5-4F7E-94AC-FA681DBE9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17</xdr:row>
      <xdr:rowOff>85725</xdr:rowOff>
    </xdr:from>
    <xdr:to>
      <xdr:col>27</xdr:col>
      <xdr:colOff>333375</xdr:colOff>
      <xdr:row>31</xdr:row>
      <xdr:rowOff>161925</xdr:rowOff>
    </xdr:to>
    <xdr:graphicFrame macro="">
      <xdr:nvGraphicFramePr>
        <xdr:cNvPr id="4" name="Chart 3">
          <a:extLst>
            <a:ext uri="{FF2B5EF4-FFF2-40B4-BE49-F238E27FC236}">
              <a16:creationId xmlns:a16="http://schemas.microsoft.com/office/drawing/2014/main" id="{6FE4EB8B-E528-49A1-9E1B-2B4D16335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285750</xdr:colOff>
      <xdr:row>23</xdr:row>
      <xdr:rowOff>76199</xdr:rowOff>
    </xdr:to>
    <xdr:graphicFrame macro="">
      <xdr:nvGraphicFramePr>
        <xdr:cNvPr id="2" name="Chart 1">
          <a:extLst>
            <a:ext uri="{FF2B5EF4-FFF2-40B4-BE49-F238E27FC236}">
              <a16:creationId xmlns:a16="http://schemas.microsoft.com/office/drawing/2014/main" id="{DF4DD604-B3CE-405A-B819-8759D8B1D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19</xdr:row>
      <xdr:rowOff>38100</xdr:rowOff>
    </xdr:to>
    <xdr:graphicFrame macro="">
      <xdr:nvGraphicFramePr>
        <xdr:cNvPr id="3" name="Chart 2">
          <a:extLst>
            <a:ext uri="{FF2B5EF4-FFF2-40B4-BE49-F238E27FC236}">
              <a16:creationId xmlns:a16="http://schemas.microsoft.com/office/drawing/2014/main" id="{2E72C603-938C-407D-BE04-F7FC609F5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20</xdr:row>
      <xdr:rowOff>104775</xdr:rowOff>
    </xdr:from>
    <xdr:to>
      <xdr:col>27</xdr:col>
      <xdr:colOff>295275</xdr:colOff>
      <xdr:row>34</xdr:row>
      <xdr:rowOff>180975</xdr:rowOff>
    </xdr:to>
    <xdr:graphicFrame macro="">
      <xdr:nvGraphicFramePr>
        <xdr:cNvPr id="4" name="Chart 3">
          <a:extLst>
            <a:ext uri="{FF2B5EF4-FFF2-40B4-BE49-F238E27FC236}">
              <a16:creationId xmlns:a16="http://schemas.microsoft.com/office/drawing/2014/main" id="{7F36E43C-7180-FC68-9AB0-91AEB40A2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285750</xdr:colOff>
      <xdr:row>23</xdr:row>
      <xdr:rowOff>76199</xdr:rowOff>
    </xdr:to>
    <xdr:graphicFrame macro="">
      <xdr:nvGraphicFramePr>
        <xdr:cNvPr id="2" name="Chart 1">
          <a:extLst>
            <a:ext uri="{FF2B5EF4-FFF2-40B4-BE49-F238E27FC236}">
              <a16:creationId xmlns:a16="http://schemas.microsoft.com/office/drawing/2014/main" id="{C5277032-45E0-4259-ACCF-C0DED670E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19</xdr:row>
      <xdr:rowOff>38100</xdr:rowOff>
    </xdr:to>
    <xdr:graphicFrame macro="">
      <xdr:nvGraphicFramePr>
        <xdr:cNvPr id="3" name="Chart 2">
          <a:extLst>
            <a:ext uri="{FF2B5EF4-FFF2-40B4-BE49-F238E27FC236}">
              <a16:creationId xmlns:a16="http://schemas.microsoft.com/office/drawing/2014/main" id="{4F318CD6-C144-4E30-8C54-656177D4F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20</xdr:row>
      <xdr:rowOff>104775</xdr:rowOff>
    </xdr:from>
    <xdr:to>
      <xdr:col>27</xdr:col>
      <xdr:colOff>295275</xdr:colOff>
      <xdr:row>34</xdr:row>
      <xdr:rowOff>180975</xdr:rowOff>
    </xdr:to>
    <xdr:graphicFrame macro="">
      <xdr:nvGraphicFramePr>
        <xdr:cNvPr id="4" name="Chart 3">
          <a:extLst>
            <a:ext uri="{FF2B5EF4-FFF2-40B4-BE49-F238E27FC236}">
              <a16:creationId xmlns:a16="http://schemas.microsoft.com/office/drawing/2014/main" id="{5F1D9D25-CC63-4938-98F2-6C9CEA690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285750</xdr:colOff>
      <xdr:row>19</xdr:row>
      <xdr:rowOff>76199</xdr:rowOff>
    </xdr:to>
    <xdr:graphicFrame macro="">
      <xdr:nvGraphicFramePr>
        <xdr:cNvPr id="2" name="Chart 1">
          <a:extLst>
            <a:ext uri="{FF2B5EF4-FFF2-40B4-BE49-F238E27FC236}">
              <a16:creationId xmlns:a16="http://schemas.microsoft.com/office/drawing/2014/main" id="{9088BDC7-F4F1-41F0-AFB0-28EF91758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D4589EDB-8D2C-4C07-8FE8-794296648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16</xdr:row>
      <xdr:rowOff>104775</xdr:rowOff>
    </xdr:from>
    <xdr:to>
      <xdr:col>27</xdr:col>
      <xdr:colOff>295275</xdr:colOff>
      <xdr:row>30</xdr:row>
      <xdr:rowOff>180975</xdr:rowOff>
    </xdr:to>
    <xdr:graphicFrame macro="">
      <xdr:nvGraphicFramePr>
        <xdr:cNvPr id="4" name="Chart 3">
          <a:extLst>
            <a:ext uri="{FF2B5EF4-FFF2-40B4-BE49-F238E27FC236}">
              <a16:creationId xmlns:a16="http://schemas.microsoft.com/office/drawing/2014/main" id="{5588D4D4-A3A1-4512-AE0B-0B5BCEC06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114299</xdr:colOff>
      <xdr:row>1</xdr:row>
      <xdr:rowOff>123825</xdr:rowOff>
    </xdr:from>
    <xdr:to>
      <xdr:col>13</xdr:col>
      <xdr:colOff>495300</xdr:colOff>
      <xdr:row>18</xdr:row>
      <xdr:rowOff>47625</xdr:rowOff>
    </xdr:to>
    <xdr:graphicFrame macro="">
      <xdr:nvGraphicFramePr>
        <xdr:cNvPr id="2" name="Chart 1">
          <a:extLst>
            <a:ext uri="{FF2B5EF4-FFF2-40B4-BE49-F238E27FC236}">
              <a16:creationId xmlns:a16="http://schemas.microsoft.com/office/drawing/2014/main" id="{307F510E-D645-48C1-B293-500392BB1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F9DF0147-F82B-4281-8416-64A481CC4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83D653E2-13AA-7DF9-3E8F-02113E328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266700</xdr:colOff>
      <xdr:row>19</xdr:row>
      <xdr:rowOff>76199</xdr:rowOff>
    </xdr:to>
    <xdr:graphicFrame macro="">
      <xdr:nvGraphicFramePr>
        <xdr:cNvPr id="2" name="Chart 1">
          <a:extLst>
            <a:ext uri="{FF2B5EF4-FFF2-40B4-BE49-F238E27FC236}">
              <a16:creationId xmlns:a16="http://schemas.microsoft.com/office/drawing/2014/main" id="{B453C3F5-B023-4BCF-8535-94018A21C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AFDD3FE3-D993-4610-BD85-FB6AA7B84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C4F684C5-205E-475D-8998-48FEA823D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12</xdr:col>
      <xdr:colOff>600075</xdr:colOff>
      <xdr:row>17</xdr:row>
      <xdr:rowOff>133349</xdr:rowOff>
    </xdr:to>
    <xdr:graphicFrame macro="">
      <xdr:nvGraphicFramePr>
        <xdr:cNvPr id="2" name="Chart 1">
          <a:extLst>
            <a:ext uri="{FF2B5EF4-FFF2-40B4-BE49-F238E27FC236}">
              <a16:creationId xmlns:a16="http://schemas.microsoft.com/office/drawing/2014/main" id="{06D01F08-351D-42FE-BB7C-2AB307559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BC5C7D49-3622-460C-A87B-E283F26AD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F368DF6B-4F06-40B4-A91D-B17E7C8B8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219075</xdr:colOff>
      <xdr:row>17</xdr:row>
      <xdr:rowOff>133349</xdr:rowOff>
    </xdr:to>
    <xdr:graphicFrame macro="">
      <xdr:nvGraphicFramePr>
        <xdr:cNvPr id="2" name="Chart 1">
          <a:extLst>
            <a:ext uri="{FF2B5EF4-FFF2-40B4-BE49-F238E27FC236}">
              <a16:creationId xmlns:a16="http://schemas.microsoft.com/office/drawing/2014/main" id="{E082D5B2-BF19-4631-ADFE-EDD7E233A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284485F3-5094-4C4C-836D-B3E82C04D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509F6E47-3D0D-4BB1-B7B8-E3C0FF0D0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114299</xdr:colOff>
      <xdr:row>1</xdr:row>
      <xdr:rowOff>123824</xdr:rowOff>
    </xdr:from>
    <xdr:to>
      <xdr:col>13</xdr:col>
      <xdr:colOff>180975</xdr:colOff>
      <xdr:row>17</xdr:row>
      <xdr:rowOff>190499</xdr:rowOff>
    </xdr:to>
    <xdr:graphicFrame macro="">
      <xdr:nvGraphicFramePr>
        <xdr:cNvPr id="2" name="Chart 1">
          <a:extLst>
            <a:ext uri="{FF2B5EF4-FFF2-40B4-BE49-F238E27FC236}">
              <a16:creationId xmlns:a16="http://schemas.microsoft.com/office/drawing/2014/main" id="{2AA6C9F7-84DF-4AC0-AEC5-BBBA7BCA9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E418ADBE-FB05-45E3-93AA-AEF9AE54B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142875</xdr:colOff>
      <xdr:row>16</xdr:row>
      <xdr:rowOff>180975</xdr:rowOff>
    </xdr:from>
    <xdr:to>
      <xdr:col>27</xdr:col>
      <xdr:colOff>447675</xdr:colOff>
      <xdr:row>31</xdr:row>
      <xdr:rowOff>66675</xdr:rowOff>
    </xdr:to>
    <xdr:graphicFrame macro="">
      <xdr:nvGraphicFramePr>
        <xdr:cNvPr id="4" name="Chart 3">
          <a:extLst>
            <a:ext uri="{FF2B5EF4-FFF2-40B4-BE49-F238E27FC236}">
              <a16:creationId xmlns:a16="http://schemas.microsoft.com/office/drawing/2014/main" id="{B2B4B9F8-CBA6-434E-84D5-A81C46D51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476251</xdr:colOff>
      <xdr:row>1</xdr:row>
      <xdr:rowOff>123825</xdr:rowOff>
    </xdr:from>
    <xdr:to>
      <xdr:col>13</xdr:col>
      <xdr:colOff>190501</xdr:colOff>
      <xdr:row>17</xdr:row>
      <xdr:rowOff>161925</xdr:rowOff>
    </xdr:to>
    <xdr:graphicFrame macro="">
      <xdr:nvGraphicFramePr>
        <xdr:cNvPr id="2" name="Chart 1">
          <a:extLst>
            <a:ext uri="{FF2B5EF4-FFF2-40B4-BE49-F238E27FC236}">
              <a16:creationId xmlns:a16="http://schemas.microsoft.com/office/drawing/2014/main" id="{2B8F2637-CD69-418E-BEED-6F79B1E43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47625</xdr:colOff>
      <xdr:row>1</xdr:row>
      <xdr:rowOff>190500</xdr:rowOff>
    </xdr:from>
    <xdr:to>
      <xdr:col>27</xdr:col>
      <xdr:colOff>352425</xdr:colOff>
      <xdr:row>15</xdr:row>
      <xdr:rowOff>38100</xdr:rowOff>
    </xdr:to>
    <xdr:graphicFrame macro="">
      <xdr:nvGraphicFramePr>
        <xdr:cNvPr id="3" name="Chart 2">
          <a:extLst>
            <a:ext uri="{FF2B5EF4-FFF2-40B4-BE49-F238E27FC236}">
              <a16:creationId xmlns:a16="http://schemas.microsoft.com/office/drawing/2014/main" id="{ACE2F279-0D7A-42CB-9304-DC093B58C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28575</xdr:colOff>
      <xdr:row>16</xdr:row>
      <xdr:rowOff>85725</xdr:rowOff>
    </xdr:from>
    <xdr:to>
      <xdr:col>27</xdr:col>
      <xdr:colOff>333375</xdr:colOff>
      <xdr:row>30</xdr:row>
      <xdr:rowOff>161925</xdr:rowOff>
    </xdr:to>
    <xdr:graphicFrame macro="">
      <xdr:nvGraphicFramePr>
        <xdr:cNvPr id="4" name="Chart 3">
          <a:extLst>
            <a:ext uri="{FF2B5EF4-FFF2-40B4-BE49-F238E27FC236}">
              <a16:creationId xmlns:a16="http://schemas.microsoft.com/office/drawing/2014/main" id="{751659DD-E923-4B35-A6A8-537A79D36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C14A99BB-15D2-4E89-A93A-74FE3DB5C3BA}" autoFormatId="16" applyNumberFormats="0" applyBorderFormats="0" applyFontFormats="0" applyPatternFormats="0" applyAlignmentFormats="0" applyWidthHeightFormats="0">
  <queryTableRefresh nextId="4">
    <queryTableFields count="3">
      <queryTableField id="1" name="Name" tableColumnId="1"/>
      <queryTableField id="2" name="Value.symbol" tableColumnId="2"/>
      <queryTableField id="3" name="Value.quote.USD.pric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2" xr16:uid="{93C16539-0A18-42E2-99AF-65D2EDFE9468}" autoFormatId="16" applyNumberFormats="0" applyBorderFormats="0" applyFontFormats="0" applyPatternFormats="0" applyAlignmentFormats="0" applyWidthHeightFormats="0">
  <queryTableRefresh nextId="8">
    <queryTableFields count="5">
      <queryTableField id="1" name="baseCurrency" tableColumnId="1"/>
      <queryTableField id="2" name="targetCurrency" tableColumnId="2"/>
      <queryTableField id="5" name="targetName" tableColumnId="5"/>
      <queryTableField id="4" name="inverseRate" tableColumnId="4"/>
      <queryTableField id="3" name="exchangeRate" tableColumnId="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8">
  <rv s="0">
    <v>https://www.bing.com/financeapi/forcetrigger?t=ajeia2&amp;q=XMIL%3aCNHI&amp;form=skydnc</v>
    <v>Learn more on Bing</v>
  </rv>
  <rv s="1">
    <v>en-GB</v>
    <v>ajeia2</v>
    <v>268435456</v>
    <v>1</v>
    <v>1</v>
    <v>Powered by Refinitiv</v>
    <v>0</v>
    <v>CNH Industrial NV (XMIL:CNHI)</v>
    <v>2</v>
    <v>3</v>
    <v>Finance</v>
    <v>4</v>
    <v>16.670000000000002</v>
    <v>8.75</v>
    <v>1.4790000000000001</v>
    <v>0</v>
    <v>0</v>
    <v>EUR</v>
    <v>CNH Industrial N.V. is an equipment and services company. The Company is engaged in the design, production, marketing, sale, and financing of agricultural and construction equipment. The Company operates through three segments: Agriculture, Construction and Financial Services. Its Agriculture segment designs, manufactures, and distributes a full line of farm machinery and implements, including two-wheel and four-wheel drive tractors, crawler tractors, combines, grape and sugar cane harvesters, hay and forage equipment, and others. Its Construction segment designs, manufactures, and distributes a full line of construction equipment, including excavators, crawler dozers, graders, wheel loaders, backhoe loaders, skid steer loaders, and compact track loaders. Its Financial Services segment offers retail note and lease financing to end-use customers for the purchase of new and used agricultural and construction equipment and components.</v>
    <v>40070</v>
    <v>Borsa Italiana</v>
    <v>XMIL</v>
    <v>XMIL</v>
    <v>25 St. James's Street, LONDON, UNITED KINGDOM-NA, SW1A 1HA GB</v>
    <v>11.145</v>
    <v>Machinery, Equipment &amp; Components</v>
    <v>Stock</v>
    <v>45289.708333333336</v>
    <v>0</v>
    <v>10.8</v>
    <v>15149150000</v>
    <v>CNH Industrial NV</v>
    <v>CNH Industrial NV</v>
    <v>10.85</v>
    <v>6.7381000000000002</v>
    <v>10.94</v>
    <v>11.08</v>
    <v>1364400000</v>
    <v>CNHI</v>
    <v>CNH Industrial NV (XMIL:CNHI)</v>
    <v>3909446</v>
    <v>10977410</v>
  </rv>
  <rv s="2">
    <v>1</v>
  </rv>
  <rv s="0">
    <v>https://www.bing.com/financeapi/forcetrigger?t=ajgrar&amp;q=XMIL%3aUCG&amp;form=skydnc</v>
    <v>Learn more on Bing</v>
  </rv>
  <rv s="3">
    <v>en-GB</v>
    <v>ajgrar</v>
    <v>268435456</v>
    <v>1</v>
    <v>Powered by Refinitiv</v>
    <v>5</v>
    <v>UniCredit SpA (XMIL:UCG)</v>
    <v>2</v>
    <v>3</v>
    <v>Finance</v>
    <v>4</v>
    <v>79.790000000000006</v>
    <v>54.34</v>
    <v>1.6559999999999999</v>
    <v>5.0000000000000001E-3</v>
    <v>6.7489999999999992E-5</v>
    <v>EUR</v>
    <v>UniCredit SpA is an Italy-based holding company engaged in the financial sector. Its division model is based on seven business lines: Commercial Banking Italy, Central and Eastern Europe (CEE), Corporate and Investment Banking (CIB), Commercial Banking Germany, Commercial Banking Austria and Fineco. UniCredit SpA offers banking and financial services for families, individuals and corporate clients, including accounts, loans, mortgages, investments, wealth management, as well as financial advice and insurance products, among others. Through numerous subsidiaries, the Company operates in the domestic market, Germany, Austria and CEE.</v>
    <v>67118</v>
    <v>Borsa Italiana</v>
    <v>XMIL</v>
    <v>XMIL</v>
    <v>Piazza Gae Aulenti 3 - Tower A, MILANO, MILANO, 20154 IT</v>
    <v>74.260000000000005</v>
    <v>Banking Services</v>
    <v>Stock</v>
    <v>46168.525092765623</v>
    <v>3</v>
    <v>73.52</v>
    <v>111295900000</v>
    <v>UniCredit SpA</v>
    <v>UniCredit SpA</v>
    <v>74</v>
    <v>10.6351</v>
    <v>74.09</v>
    <v>74.094999999999999</v>
    <v>1507953000</v>
    <v>UCG</v>
    <v>UniCredit SpA (XMIL:UCG)</v>
    <v>1289866</v>
    <v>4732100</v>
  </rv>
  <rv s="2">
    <v>4</v>
  </rv>
  <rv s="0">
    <v>https://www.bing.com/financeapi/forcetrigger?t=ajg6sm&amp;q=XMIL%3aPST&amp;form=skydnc</v>
    <v>Learn more on Bing</v>
  </rv>
  <rv s="3">
    <v>en-GB</v>
    <v>ajg6sm</v>
    <v>268435456</v>
    <v>1</v>
    <v>Powered by Refinitiv</v>
    <v>5</v>
    <v>Poste Italiane SpA (XMIL:PST)</v>
    <v>2</v>
    <v>3</v>
    <v>Finance</v>
    <v>4</v>
    <v>25.41</v>
    <v>17.68</v>
    <v>0.9446</v>
    <v>0.04</v>
    <v>1.578E-3</v>
    <v>EUR</v>
    <v>Poste Italiane SpA is an Italy based company active in the areas of post and logistics as well as in financial and insurance services. The Company through its subsidiaries operates four segments: Mail, Parcels and Distribution; Payments, Mobile and Digital; Financial Services; and Insurance Services. The Mail, Parcels and Distribution segment includes letter post, express delivery, logistics, parcels and philately, among others. The Payments, Mobile and Digital segment includes payment services and mobile telecommunications services. Financial Services includes the collection of all forms of savings deposits, the provision of payment services, foreign currency exchange, the promotion and arrangement of loans issued by authorized financial institutions and the provision of investment services, among others. Insurance Services operates in ministerial life assurance Classes I, III and V and non-life insurance, among others. The Company is active locally.</v>
    <v>119000</v>
    <v>Borsa Italiana</v>
    <v>XMIL</v>
    <v>XMIL</v>
    <v>Viale Europa, 190, ROMA, 00144 IT</v>
    <v>25.41</v>
    <v>Freight &amp; Logistics Services</v>
    <v>Stock</v>
    <v>46168.524913495312</v>
    <v>6</v>
    <v>25.25</v>
    <v>28799720000</v>
    <v>Poste Italiane SpA</v>
    <v>Poste Italiane SpA</v>
    <v>25.36</v>
    <v>13.511799999999999</v>
    <v>25.35</v>
    <v>25.39</v>
    <v>1306110000</v>
    <v>PST</v>
    <v>Poste Italiane SpA (XMIL:PST)</v>
    <v>881162</v>
    <v>2908620</v>
  </rv>
  <rv s="2">
    <v>7</v>
  </rv>
  <rv s="0">
    <v>https://www.bing.com/financeapi/forcetrigger?t=ajgku2&amp;q=XMIL%3aSTM&amp;form=skydnc</v>
    <v>Learn more on Bing</v>
  </rv>
  <rv s="4">
    <v>en-GB</v>
    <v>ajgku2</v>
    <v>268435456</v>
    <v>1</v>
    <v>Powered by Refinitiv</v>
    <v>6</v>
    <v>STMicroelectronics NV (XMIL:STMMI)</v>
    <v>2</v>
    <v>7</v>
    <v>Finance</v>
    <v>4</v>
    <v>59.14</v>
    <v>18.21</v>
    <v>1.4599</v>
    <v>1.0900000000000001</v>
    <v>1.8787000000000002E-2</v>
    <v>EUR</v>
    <v>STMicroelectronics N.V. is a Netherlands-based semiconductor company. It designs, develops, manufactures and markets a range of products, including discrete and standard commodity components, and application-specific integrated circuits (ASICs) for analog, digital and mixed-signal applications. The Company's segments include Automotive and Discrete Group (ADG), Analog, MEMS and Sensors Group (AMS), and Microcontrollers and Digital ICs Group (MDG). The ADG segment comprises all dedicated automotive Integrated Circuits (ICs), and discrete and power transistor products. The AMS segment includes low-power analog ICs for all markets, smart power products; Touch Screen Controllers, Low Power Connectivity solutions for Internet of Things (IoT), and power conversion products, among others. The AMS segment comprises general purpose and secure microcontrollers, and Electrically Erasable Programmable Read-Only Memory memories.</v>
    <v>47737</v>
    <v>Borsa Italiana</v>
    <v>XMIL</v>
    <v>XMIL</v>
    <v>WTC Schiphol Airport, Schiphol Boulevard 265, SCHIPHOL, NOORD-HOLLAND, 1118BH NL</v>
    <v>59.14</v>
    <v>Semiconductors &amp; Semiconductor Equipment</v>
    <v>Stock</v>
    <v>46168.525057870371</v>
    <v>9</v>
    <v>57.99</v>
    <v>22586220000</v>
    <v>STMicroelectronics NV</v>
    <v>STMicroelectronics NV</v>
    <v>58.47</v>
    <v>207.11279999999999</v>
    <v>58.02</v>
    <v>59.11</v>
    <v>911281900</v>
    <v>STMMI</v>
    <v>STMicroelectronics NV (XMIL:STMMI)</v>
    <v>1757164</v>
    <v>3361190</v>
    <v>1987</v>
  </rv>
  <rv s="2">
    <v>10</v>
  </rv>
  <rv s="0">
    <v>https://www.bing.com/financeapi/forcetrigger?t=ajfm52&amp;q=XMIL%3aISP&amp;form=skydnc</v>
    <v>Learn more on Bing</v>
  </rv>
  <rv s="3">
    <v>en-GB</v>
    <v>ajfm52</v>
    <v>268435456</v>
    <v>1</v>
    <v>Powered by Refinitiv</v>
    <v>5</v>
    <v>Intesa Sanpaolo SpA (XMIL:ISP)</v>
    <v>2</v>
    <v>3</v>
    <v>Finance</v>
    <v>4</v>
    <v>6.16</v>
    <v>4.7300000000000004</v>
    <v>1.2019</v>
    <v>1.2E-2</v>
    <v>2.091E-3</v>
    <v>EUR</v>
    <v>Intesa Sanpaolo SpA is an Italy-based banking company. The Company operates through six business segments: Banca dei Territori, IMI Corporate &amp; Investment Banking, International Subsidiary Banks, Asset Management, Private Banking and Insurance. Banca dei Territori includes the traditional lending and deposit collecting activities in Italy and related financial services. IMI Corporate &amp; Investment Banking covers corporate banking, investment banking and public finance in Italy and abroad. International Subsidiary Banks oversee the Company's commercial operations in international markets through commercial banking subsidiaries and associates. Private Banking provides private and high net worth individuals with specific products and services. Asset Management develops asset management solutions. The Insurance business oversees the management of subsidiaries Intesa Sanpaolo Vita S.p.A. and Fideuram Vita S.p.A. and develops a mix of insurance products. The Bank is present globally.</v>
    <v>89931</v>
    <v>Borsa Italiana</v>
    <v>XMIL</v>
    <v>XMIL</v>
    <v>via Monte di Pieta, 8, MILANO, MILANO, 20121 IT</v>
    <v>5.758</v>
    <v>Banking Services</v>
    <v>Stock</v>
    <v>46168.525081018517</v>
    <v>12</v>
    <v>5.7130000000000001</v>
    <v>104306200000</v>
    <v>Intesa Sanpaolo SpA</v>
    <v>Intesa Sanpaolo SpA</v>
    <v>5.75</v>
    <v>10.5136</v>
    <v>5.74</v>
    <v>5.7519999999999998</v>
    <v>17479420000</v>
    <v>ISP</v>
    <v>Intesa Sanpaolo SpA (XMIL:ISP)</v>
    <v>13123784</v>
    <v>52537080</v>
  </rv>
  <rv s="2">
    <v>13</v>
  </rv>
  <rv s="0">
    <v>https://www.bing.com/financeapi/forcetrigger?t=ajfrfr&amp;q=XMIL%3aLDO&amp;form=skydnc</v>
    <v>Learn more on Bing</v>
  </rv>
  <rv s="3">
    <v>en-GB</v>
    <v>ajfrfr</v>
    <v>268435456</v>
    <v>1</v>
    <v>Powered by Refinitiv</v>
    <v>5</v>
    <v>Leonardo SpA (XMIL:LDO)</v>
    <v>2</v>
    <v>3</v>
    <v>Finance</v>
    <v>4</v>
    <v>66.260000000000005</v>
    <v>43.15</v>
    <v>0.57799999999999996</v>
    <v>0.72</v>
    <v>1.3841000000000001E-2</v>
    <v>EUR</v>
    <v>Leonardo SpA, formerly Leonardo Finmeccanica SpA, is an Italy-based high technology company in the Aerospace, Defense and Security industrials. The Company is active in the domestic market and internationally, mainly in four markets, such as Italy, the United Kingdom, The United States and Poland. The Company operates in seven business sectors, such as Helicopters, Defense and Security, Electronics, Aeronautics, Space, Defense Systems and Other Activities. In addition, the Company operates through subsidiaries and joint ventures, including DRS Technologies Group (defense products, services and integrated support), Telespazio Group (providers of satellite services), Thales Alenia Space Group (satellite services and space manufacture), MBDA Group (missile systems), GIE ATR (regional aircraft) and Sistemi Dinamici SpA.</v>
    <v>65455</v>
    <v>Borsa Italiana</v>
    <v>XMIL</v>
    <v>XMIL</v>
    <v>Piazza Monte Grappa, 4, ROMA, ROMA, 00195 IT</v>
    <v>52.89</v>
    <v>Aerospace &amp; Defense</v>
    <v>Stock</v>
    <v>46168.525057870371</v>
    <v>15</v>
    <v>51.25</v>
    <v>34099310000</v>
    <v>Leonardo SpA</v>
    <v>Leonardo SpA</v>
    <v>51.65</v>
    <v>30.1768</v>
    <v>52.02</v>
    <v>52.74</v>
    <v>578150400</v>
    <v>LDO</v>
    <v>Leonardo SpA (XMIL:LDO)</v>
    <v>847140</v>
    <v>2496140</v>
  </rv>
  <rv s="2">
    <v>16</v>
  </rv>
  <rv s="0">
    <v>https://www.bing.com/financeapi/forcetrigger?t=ajeyzr&amp;q=XMIL%3aENEL&amp;form=skydnc</v>
    <v>Learn more on Bing</v>
  </rv>
  <rv s="4">
    <v>en-GB</v>
    <v>ajeyzr</v>
    <v>268435456</v>
    <v>1</v>
    <v>Powered by Refinitiv</v>
    <v>6</v>
    <v>Enel SpA (XMIL:ENEL)</v>
    <v>2</v>
    <v>7</v>
    <v>Finance</v>
    <v>4</v>
    <v>10.31</v>
    <v>7.58</v>
    <v>0.77410000000000001</v>
    <v>6.3E-2</v>
    <v>6.4290000000000007E-3</v>
    <v>EUR</v>
    <v>Enel SpA is an Italy-based multinational company primarily engaged in power distribution segment and an integrated operator in the global power, gas and renewables markets. The Company is active in Europe and is present in more than 30 countries, producing energy with over 68 gigawatt (GW) of installed capacity. Enel distributes electricity through a network of over 2.2 million kilometers, supplying over 70 million business and household end users globally. Enel's renewables arm Enel Green Power supplies energy of wind, solar, geothermal and hydropower plants installed in Europe, the Americas, Africa, Asia and Oceania. Enel X is Enel's global business line focusing on energy-related products and services including distribution systems and batteries, smart lighting and energy and electric mobility.</v>
    <v>61544</v>
    <v>Borsa Italiana</v>
    <v>XMIL</v>
    <v>XMIL</v>
    <v>Viale Regina Margherita, 137, ROMA, ROMA, 00198 IT</v>
    <v>9.8680000000000003</v>
    <v>Electrical Utilities &amp; IPPs</v>
    <v>Stock</v>
    <v>46168.525057870371</v>
    <v>18</v>
    <v>9.7539999999999996</v>
    <v>93228450000</v>
    <v>Enel SpA</v>
    <v>Enel SpA</v>
    <v>9.8079999999999998</v>
    <v>24.2012</v>
    <v>9.7989999999999995</v>
    <v>9.8620000000000001</v>
    <v>10166680000</v>
    <v>ENEL</v>
    <v>Enel SpA (XMIL:ENEL)</v>
    <v>4344129</v>
    <v>17892050</v>
    <v>1989</v>
  </rv>
  <rv s="2">
    <v>19</v>
  </rv>
  <rv s="0">
    <v>https://www.bing.com/financeapi/forcetrigger?t=ajezf2&amp;q=XMIL%3aENI&amp;form=skydnc</v>
    <v>Learn more on Bing</v>
  </rv>
  <rv s="3">
    <v>en-GB</v>
    <v>ajezf2</v>
    <v>268435456</v>
    <v>1</v>
    <v>Powered by Refinitiv</v>
    <v>5</v>
    <v>Eni SpA (XMIL:ENI)</v>
    <v>2</v>
    <v>3</v>
    <v>Finance</v>
    <v>4</v>
    <v>25.02</v>
    <v>12.86</v>
    <v>0.48680000000000001</v>
    <v>0.14499999999999999</v>
    <v>6.293E-3</v>
    <v>EUR</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32349</v>
    <v>Borsa Italiana</v>
    <v>XMIL</v>
    <v>XMIL</v>
    <v>Piazza Ezio Vanoni, 1, SAN DONATO MILANESE, MILANO, 20097 IT</v>
    <v>23.225000000000001</v>
    <v>Oil &amp; Gas</v>
    <v>Stock</v>
    <v>46168.524942129632</v>
    <v>21</v>
    <v>22.88</v>
    <v>51688770000</v>
    <v>Eni SpA</v>
    <v>Eni SpA</v>
    <v>23.17</v>
    <v>27.496400000000001</v>
    <v>23.04</v>
    <v>23.184999999999999</v>
    <v>3027982000</v>
    <v>ENI</v>
    <v>Eni SpA (XMIL:ENI)</v>
    <v>3582508</v>
    <v>8632920</v>
  </rv>
  <rv s="2">
    <v>22</v>
  </rv>
  <rv s="0">
    <v>https://www.bing.com/financeapi/forcetrigger?t=a1mou2&amp;q=XNAS%3aAAPL&amp;form=skydnc</v>
    <v>Learn more on Bing</v>
  </rv>
  <rv s="4">
    <v>en-GB</v>
    <v>a1mou2</v>
    <v>268435456</v>
    <v>1</v>
    <v>Powered by Refinitiv</v>
    <v>6</v>
    <v>APPLE INC. (XNAS:AAPL)</v>
    <v>2</v>
    <v>8</v>
    <v>Finance</v>
    <v>9</v>
    <v>311.39999999999998</v>
    <v>195.07</v>
    <v>1.0824</v>
    <v>3.83</v>
    <v>1.2558E-2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311.39999999999998</v>
    <v>Computers, Phones &amp; Household Electronics</v>
    <v>Stock</v>
    <v>46164.999988772659</v>
    <v>24</v>
    <v>305.83999999999997</v>
    <v>4535750515200</v>
    <v>APPLE INC.</v>
    <v>APPLE INC.</v>
    <v>306.12</v>
    <v>37.506300000000003</v>
    <v>304.99</v>
    <v>308.82</v>
    <v>14687360000</v>
    <v>AAPL</v>
    <v>APPLE INC. (XNAS:AAPL)</v>
    <v>361887</v>
    <v>46783820</v>
    <v>1977</v>
  </rv>
  <rv s="2">
    <v>25</v>
  </rv>
  <rv s="0">
    <v>https://www.bing.com/financeapi/forcetrigger?t=a1nhlh&amp;q=XNAS%3aAMZN&amp;form=skydnc</v>
    <v>Learn more on Bing</v>
  </rv>
  <rv s="4">
    <v>en-GB</v>
    <v>a1nhlh</v>
    <v>268435456</v>
    <v>1</v>
    <v>Powered by Refinitiv</v>
    <v>6</v>
    <v>AMAZON.COM, INC. (XNAS:AMZN)</v>
    <v>2</v>
    <v>8</v>
    <v>Finance</v>
    <v>9</v>
    <v>278.56</v>
    <v>196</v>
    <v>1.4549000000000001</v>
    <v>-2.14</v>
    <v>-7.9710000000000007E-3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269.78500000000003</v>
    <v>Diversified Retail</v>
    <v>Stock</v>
    <v>46164.999993876561</v>
    <v>27</v>
    <v>266.23500000000001</v>
    <v>2864833535200</v>
    <v>AMAZON.COM, INC.</v>
    <v>AMAZON.COM, INC.</v>
    <v>268.65499999999997</v>
    <v>31.827100000000002</v>
    <v>268.45999999999998</v>
    <v>266.32</v>
    <v>10757110000</v>
    <v>AMZN</v>
    <v>AMAZON.COM, INC. (XNAS:AMZN)</v>
    <v>325632</v>
    <v>43543716</v>
    <v>1996</v>
  </rv>
  <rv s="2">
    <v>28</v>
  </rv>
  <rv s="0">
    <v>http://en.wikipedia.org/wiki/Public_domain</v>
    <v>Public domain</v>
  </rv>
  <rv s="0">
    <v>https://en.wikipedia.org/wiki/Microsoft</v>
    <v>Wikipedia</v>
  </rv>
  <rv s="5">
    <v>30</v>
    <v>31</v>
  </rv>
  <rv s="6">
    <v>14</v>
    <v>https://www.bing.com/th?id=AMMS_e6e837c7bf3a77408619758b7447855a&amp;qlt=95</v>
    <v>32</v>
    <v>0</v>
    <v>https://www.bing.com/images/search?form=xlimg&amp;q=microsoft</v>
    <v>Image of MICROSOFT CORPORATION</v>
  </rv>
  <rv s="0">
    <v>https://www.bing.com/financeapi/forcetrigger?t=a1xzim&amp;q=XNAS%3aMSFT&amp;form=skydnc</v>
    <v>Learn more on Bing</v>
  </rv>
  <rv s="7">
    <v>en-GB</v>
    <v>a1xzim</v>
    <v>268435456</v>
    <v>1</v>
    <v>Powered by Refinitiv</v>
    <v>10</v>
    <v>MICROSOFT CORPORATION (XNAS:MSFT)</v>
    <v>12</v>
    <v>13</v>
    <v>Finance</v>
    <v>9</v>
    <v>555.45000000000005</v>
    <v>356.28</v>
    <v>1.0896999999999999</v>
    <v>-0.52</v>
    <v>-1.2409999999999999E-3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424.4</v>
    <v>33</v>
    <v>Software &amp; IT Services</v>
    <v>Stock</v>
    <v>46164.999933529689</v>
    <v>34</v>
    <v>416.33</v>
    <v>3109320037950</v>
    <v>MICROSOFT CORPORATION</v>
    <v>MICROSOFT CORPORATION</v>
    <v>419.53500000000003</v>
    <v>24.930299999999999</v>
    <v>419.09</v>
    <v>418.57</v>
    <v>7428435000</v>
    <v>MSFT</v>
    <v>MICROSOFT CORPORATION (XNAS:MSFT)</v>
    <v>1073538</v>
    <v>33521115</v>
    <v>1993</v>
  </rv>
  <rv s="2">
    <v>35</v>
  </rv>
  <rv s="0">
    <v>https://www.bing.com/financeapi/forcetrigger?t=ajgm8m&amp;q=XMIL%3aSWDA&amp;form=skydnc</v>
    <v>Learn more on Bing</v>
  </rv>
  <rv s="8">
    <v>en-GB</v>
    <v>ajgm8m</v>
    <v>268435456</v>
    <v>1</v>
    <v>Powered by Refinitiv</v>
    <v>15</v>
    <v>iShs CoreMSCI Wld ETF USD A (XMIL:SWDA)</v>
    <v>16</v>
    <v>17</v>
    <v>Finance</v>
    <v>18</v>
    <v>123.66</v>
    <v>98.2</v>
    <v>-0.28000000000000003</v>
    <v>-2.2659999999999998E-3</v>
    <v>EUR</v>
    <v>Borsa Italiana</v>
    <v>XMIL</v>
    <v>2E-3</v>
    <v>123.33</v>
    <v>ETF</v>
    <v>46168.525000566406</v>
    <v>37</v>
    <v>122.97</v>
    <v>136721252331.7</v>
    <v>iShs CoreMSCI Wld ETF USD A</v>
    <v>123.24</v>
    <v>123.54</v>
    <v>123.26</v>
    <v>SWDA</v>
    <v>iShs CoreMSCI Wld ETF USD A (XMIL:SWDA)</v>
    <v>126165</v>
  </rv>
  <rv s="2">
    <v>38</v>
  </rv>
  <rv s="0">
    <v>https://www.bing.com/financeapi/forcetrigger?t=bomkbh&amp;q=XMIL%3aVFEM&amp;form=skydnc</v>
    <v>Learn more on Bing</v>
  </rv>
  <rv s="8">
    <v>en-GB</v>
    <v>bomkbh</v>
    <v>268435456</v>
    <v>1</v>
    <v>Powered by Refinitiv</v>
    <v>15</v>
    <v>FTSE EM UCITS ETF USD D (XMIL:VFEM)</v>
    <v>16</v>
    <v>17</v>
    <v>Finance</v>
    <v>18</v>
    <v>71.78</v>
    <v>56.58</v>
    <v>-0.41</v>
    <v>-5.7450000000000001E-3</v>
    <v>EUR</v>
    <v>Borsa Italiana</v>
    <v>XMIL</v>
    <v>2.134E-3</v>
    <v>71.02</v>
    <v>ETF</v>
    <v>46168.525034722225</v>
    <v>40</v>
    <v>70.92</v>
    <v>3440965551.6599998</v>
    <v>FTSE EM UCITS ETF USD D</v>
    <v>71.02</v>
    <v>71.37</v>
    <v>70.959999999999994</v>
    <v>VFEM</v>
    <v>FTSE EM UCITS ETF USD D (XMIL:VFEM)</v>
    <v>410</v>
  </rv>
  <rv s="2">
    <v>41</v>
  </rv>
  <rv s="0">
    <v>https://www.bing.com/financeapi/forcetrigger?t=ajfktc&amp;q=XMIL%3aINRG&amp;form=skydnc</v>
    <v>Learn more on Bing</v>
  </rv>
  <rv s="8">
    <v>en-GB</v>
    <v>ajfktc</v>
    <v>268435456</v>
    <v>1</v>
    <v>Powered by Refinitiv</v>
    <v>15</v>
    <v>iShGlb Cln Eng Trns UETFUSD D (XMIL:INRG)</v>
    <v>16</v>
    <v>17</v>
    <v>Finance</v>
    <v>18</v>
    <v>11.292</v>
    <v>6.27</v>
    <v>4.2000000000000003E-2</v>
    <v>3.7430000000000002E-3</v>
    <v>EUR</v>
    <v>Borsa Italiana</v>
    <v>XMIL</v>
    <v>6.5000000000000006E-3</v>
    <v>11.292</v>
    <v>ETF</v>
    <v>46168.525104166663</v>
    <v>43</v>
    <v>11.17</v>
    <v>3497336558.5999999</v>
    <v>iShGlb Cln Eng Trns UETFUSD D</v>
    <v>11.196</v>
    <v>11.222</v>
    <v>11.263999999999999</v>
    <v>INRG</v>
    <v>iShGlb Cln Eng Trns UETFUSD D (XMIL:INRG)</v>
    <v>66733</v>
  </rv>
  <rv s="2">
    <v>44</v>
  </rv>
  <rv s="0">
    <v>https://www.bing.com/financeapi/forcetrigger?t=ajfnlh&amp;q=XMIL%3aIUSA&amp;form=skydnc</v>
    <v>Learn more on Bing</v>
  </rv>
  <rv s="8">
    <v>en-GB</v>
    <v>ajfnlh</v>
    <v>268435456</v>
    <v>1</v>
    <v>Powered by Refinitiv</v>
    <v>15</v>
    <v>iShs Cor S&amp;P 500 ETF USD D (XMIL:IUSA)</v>
    <v>16</v>
    <v>17</v>
    <v>Finance</v>
    <v>18</v>
    <v>64.63</v>
    <v>51.19</v>
    <v>-0.12</v>
    <v>-1.8579999999999998E-3</v>
    <v>EUR</v>
    <v>Borsa Italiana</v>
    <v>XMIL</v>
    <v>7.000000000000001E-4</v>
    <v>64.47</v>
    <v>ETF</v>
    <v>46168.524988425925</v>
    <v>46</v>
    <v>64.33</v>
    <v>20959551518.84</v>
    <v>iShs Cor S&amp;P 500 ETF USD D</v>
    <v>64.47</v>
    <v>64.569999999999993</v>
    <v>64.45</v>
    <v>IUSA</v>
    <v>iShs Cor S&amp;P 500 ETF USD D (XMIL:IUSA)</v>
    <v>1755</v>
  </rv>
  <rv s="2">
    <v>47</v>
  </rv>
  <rv s="0">
    <v>https://www.bing.com/financeapi/forcetrigger?t=bp5ptc&amp;q=XMIL%3aCHIP&amp;form=skydnc</v>
    <v>Learn more on Bing</v>
  </rv>
  <rv s="9">
    <v>en-GB</v>
    <v>bp5ptc</v>
    <v>268435456</v>
    <v>1</v>
    <v>Powered by Refinitiv</v>
    <v>19</v>
    <v>Amundi MSCISemicnd UCITS ETF A (XMIL:CHIP)</v>
    <v>16</v>
    <v>20</v>
    <v>Finance</v>
    <v>18</v>
    <v>111.5</v>
    <v>47.78</v>
    <v>1.4086000000000001</v>
    <v>-0.19</v>
    <v>-1.704E-3</v>
    <v>EUR</v>
    <v>Borsa Italiana</v>
    <v>XMIL</v>
    <v>3.4999999999999996E-3</v>
    <v>111.31</v>
    <v>ETF</v>
    <v>46168.525046296294</v>
    <v>49</v>
    <v>109.98</v>
    <v>1499942502.1600001</v>
    <v>Amundi MSCISemicnd UCITS ETF A</v>
    <v>110.68</v>
    <v>111.5</v>
    <v>111.31</v>
    <v>CHIP</v>
    <v>Amundi MSCISemicnd UCITS ETF A (XMIL:CHIP)</v>
    <v>5213</v>
  </rv>
  <rv s="2">
    <v>50</v>
  </rv>
  <rv s="0">
    <v>https://www.bing.com/financeapi/forcetrigger?t=c252mw&amp;q=XMIL%3aXAIX&amp;form=skydnc</v>
    <v>Learn more on Bing</v>
  </rv>
  <rv s="8">
    <v>en-GB</v>
    <v>c252mw</v>
    <v>268435456</v>
    <v>1</v>
    <v>Powered by Refinitiv</v>
    <v>15</v>
    <v>X AI and Big Data UCITS ETF 1C (XMIL:XAIX)</v>
    <v>16</v>
    <v>17</v>
    <v>Finance</v>
    <v>18</v>
    <v>201.04</v>
    <v>128.04</v>
    <v>0.54</v>
    <v>2.696E-3</v>
    <v>EUR</v>
    <v>Borsa Italiana</v>
    <v>XMIL</v>
    <v>3.4999999999999996E-3</v>
    <v>201.04</v>
    <v>ETF</v>
    <v>46168.525046296294</v>
    <v>52</v>
    <v>199.48</v>
    <v>7199642900</v>
    <v>X AI and Big Data UCITS ETF 1C</v>
    <v>200.42</v>
    <v>200.3</v>
    <v>200.84</v>
    <v>XAIX</v>
    <v>X AI and Big Data UCITS ETF 1C (XMIL:XAIX)</v>
    <v>4668</v>
  </rv>
  <rv s="2">
    <v>53</v>
  </rv>
  <rv s="0">
    <v>https://www.bing.com/financeapi/forcetrigger?t=ajggfr&amp;q=XMIL%3aSMEA&amp;form=skydnc</v>
    <v>Learn more on Bing</v>
  </rv>
  <rv s="9">
    <v>en-GB</v>
    <v>ajggfr</v>
    <v>268435456</v>
    <v>1</v>
    <v>Powered by Refinitiv</v>
    <v>19</v>
    <v>iShs Core MSCI Europ ETF EUR A (XMIL:SMEA)</v>
    <v>16</v>
    <v>20</v>
    <v>Finance</v>
    <v>18</v>
    <v>102.64</v>
    <v>83.75</v>
    <v>1.0024</v>
    <v>-1</v>
    <v>-9.7429999999999999E-3</v>
    <v>EUR</v>
    <v>Borsa Italiana</v>
    <v>XMIL</v>
    <v>1.1999999999999999E-3</v>
    <v>101.96</v>
    <v>ETF</v>
    <v>46168.524988425925</v>
    <v>55</v>
    <v>101.46</v>
    <v>14940156242.76</v>
    <v>iShs Core MSCI Europ ETF EUR A</v>
    <v>101.9</v>
    <v>102.64</v>
    <v>101.64</v>
    <v>SMEA</v>
    <v>iShs Core MSCI Europ ETF EUR A (XMIL:SMEA)</v>
    <v>18157</v>
  </rv>
  <rv s="2">
    <v>56</v>
  </rv>
  <rv s="0">
    <v>https://www.bing.com/financeapi/forcetrigger?t=btgxvh&amp;q=XMIL%3aVWCE&amp;form=skydnc</v>
    <v>Learn more on Bing</v>
  </rv>
  <rv s="8">
    <v>en-GB</v>
    <v>btgxvh</v>
    <v>268435456</v>
    <v>1</v>
    <v>Powered by Refinitiv</v>
    <v>15</v>
    <v>FTSE AllWld UCITS ETF USD A (XMIL:VWCE)</v>
    <v>16</v>
    <v>17</v>
    <v>Finance</v>
    <v>18</v>
    <v>162.94</v>
    <v>127.2</v>
    <v>-0.21</v>
    <v>-1.2900000000000001E-3</v>
    <v>EUR</v>
    <v>Borsa Italiana</v>
    <v>XMIL</v>
    <v>2.117E-3</v>
    <v>162.68</v>
    <v>ETF</v>
    <v>46168.524965277778</v>
    <v>58</v>
    <v>162.09</v>
    <v>41756671556.769997</v>
    <v>FTSE AllWld UCITS ETF USD A</v>
    <v>162.46</v>
    <v>162.77000000000001</v>
    <v>162.56</v>
    <v>VWCE</v>
    <v>FTSE AllWld UCITS ETF USD A (XMIL:VWCE)</v>
    <v>44823</v>
  </rv>
  <rv s="2">
    <v>59</v>
  </rv>
  <rv s="0">
    <v>https://www.bing.com/financeapi/forcetrigger?t=ajge8m&amp;q=XMIL%3aSGLD&amp;form=skydnc</v>
    <v>Learn more on Bing</v>
  </rv>
  <rv s="10">
    <v>en-GB</v>
    <v>ajge8m</v>
    <v>268435456</v>
    <v>1</v>
    <v>Powered by Refinitiv</v>
    <v>21</v>
    <v>INVESCO PHYSICAL GOLD ETC (XMIL:SGLD)</v>
    <v>16</v>
    <v>22</v>
    <v>Finance</v>
    <v>18</v>
    <v>446.52</v>
    <v>267.45</v>
    <v>-5.0199999999999996</v>
    <v>-1.3284000000000001E-2</v>
    <v>EUR</v>
    <v>Borsa Italiana</v>
    <v>XMIL</v>
    <v>375.34</v>
    <v>ETF</v>
    <v>46168.525057870371</v>
    <v>61</v>
    <v>372.62</v>
    <v>INVESCO PHYSICAL GOLD ETC</v>
    <v>374.86</v>
    <v>377.9</v>
    <v>372.88</v>
    <v>SGLD</v>
    <v>INVESCO PHYSICAL GOLD ETC (XMIL:SGLD)</v>
    <v>7399</v>
  </rv>
  <rv s="2">
    <v>62</v>
  </rv>
  <rv s="0">
    <v>https://www.bing.com/financeapi/forcetrigger?t=ajh3mw&amp;q=XMIL%3aXEON&amp;form=skydnc</v>
    <v>Learn more on Bing</v>
  </rv>
  <rv s="9">
    <v>en-GB</v>
    <v>ajh3mw</v>
    <v>268435456</v>
    <v>1</v>
    <v>Powered by Refinitiv</v>
    <v>19</v>
    <v>X II EUR OntRateSpUCITS ETF 1C (XMIL:XEON)</v>
    <v>16</v>
    <v>20</v>
    <v>Finance</v>
    <v>18</v>
    <v>149.5</v>
    <v>146.28</v>
    <v>0.73429999999999995</v>
    <v>1.4E-3</v>
    <v>9.382000000000001E-6</v>
    <v>EUR</v>
    <v>Borsa Italiana</v>
    <v>XMIL</v>
    <v>1E-3</v>
    <v>149.22489999999999</v>
    <v>ETF</v>
    <v>46168.524916157032</v>
    <v>64</v>
    <v>149.20099999999999</v>
    <v>20372870000</v>
    <v>X II EUR OntRateSpUCITS ETF 1C</v>
    <v>149.21700000000001</v>
    <v>149.21700000000001</v>
    <v>149.2184</v>
    <v>XEON</v>
    <v>X II EUR OntRateSpUCITS ETF 1C (XMIL:XEON)</v>
    <v>86518</v>
  </rv>
  <rv s="2">
    <v>65</v>
  </rv>
  <rv s="11">
    <v>en-GB</v>
    <v>carv6h</v>
    <v>268435456</v>
    <v>1</v>
    <v>Powered by Refinitiv</v>
    <v>23</v>
    <v>iShsiBdsDc28Trm€CpUCITSETFEURA (XETR:IVOA)</v>
    <v>24</v>
    <v>17</v>
    <v>Finance</v>
    <v>25</v>
    <v>5.7030000000000003</v>
    <v>5.5570000000000004</v>
    <v>-3.8E-3</v>
    <v>-6.7030000000000008E-4</v>
    <v>EUR</v>
    <v>Xetra</v>
    <v>XETR</v>
    <v>1.1999999999999999E-3</v>
    <v>5.6924000000000001</v>
    <v>ETF</v>
    <v>46168.525034722225</v>
    <v>5.65</v>
    <v>966075651.44000006</v>
    <v>iShsiBdsDc28Trm€CpUCITSETFEURA</v>
    <v>5.6715999999999998</v>
    <v>5.6688000000000001</v>
    <v>5.665</v>
    <v>IVOA</v>
    <v>iShsiBdsDc28Trm€CpUCITSETFEURA (XETR:IVOA)</v>
    <v>122951</v>
  </rv>
  <rv s="2">
    <v>67</v>
  </rv>
  <rv s="11">
    <v>en-GB</v>
    <v>cd8dhw</v>
    <v>268435456</v>
    <v>1</v>
    <v>Powered by Refinitiv</v>
    <v>23</v>
    <v>AISFxMt2028EurGvBdBrdUCITSETFD (XETR:AK8E)</v>
    <v>24</v>
    <v>17</v>
    <v>Finance</v>
    <v>25</v>
    <v>10.573</v>
    <v>10.313000000000001</v>
    <v>0</v>
    <v>0</v>
    <v>EUR</v>
    <v>Xetra</v>
    <v>XETR</v>
    <v>8.9999999999999998E-4</v>
    <v>10.4115</v>
    <v>ETF</v>
    <v>46168.523449074077</v>
    <v>10.403499999999999</v>
    <v>28905830.75</v>
    <v>AISFxMt2028EurGvBdBrdUCITSETFD</v>
    <v>10.403499999999999</v>
    <v>10.4085</v>
    <v>10.4085</v>
    <v>AK8E</v>
    <v>AISFxMt2028EurGvBdBrdUCITSETFD (XETR:AK8E)</v>
    <v>10485</v>
  </rv>
  <rv s="2">
    <v>69</v>
  </rv>
  <rv s="11">
    <v>en-GB</v>
    <v>cfdi7w</v>
    <v>268435456</v>
    <v>1</v>
    <v>Powered by Refinitiv</v>
    <v>23</v>
    <v>iShiBdDc2029Trm€CpUCITSETFEURA (XSWX:29GA)</v>
    <v>24</v>
    <v>17</v>
    <v>Finance</v>
    <v>25</v>
    <v>5.34</v>
    <v>5.1630000000000003</v>
    <v>8.3999999999999995E-3</v>
    <v>1.5970000000000001E-3</v>
    <v>EUR</v>
    <v>SIX Swiss Exchange</v>
    <v>XSWX</v>
    <v>1.1999999999999999E-3</v>
    <v>5.2957999999999998</v>
    <v>ETF</v>
    <v>46163.697835648149</v>
    <v>5.2686000000000002</v>
    <v>410584997.13999999</v>
    <v>iShiBdDc2029Trm€CpUCITSETFEURA</v>
    <v>5.2957999999999998</v>
    <v>5.2602000000000002</v>
    <v>5.2686000000000002</v>
    <v>29GA</v>
    <v>iShiBdDc2029Trm€CpUCITSETFEURA (XSWX:29GA)</v>
    <v>16700</v>
  </rv>
  <rv s="2">
    <v>71</v>
  </rv>
  <rv s="11">
    <v>en-GB</v>
    <v>cehqbh</v>
    <v>268435456</v>
    <v>1</v>
    <v>Powered by Refinitiv</v>
    <v>23</v>
    <v>iShiBdDc2030Trm€CpUCITSETFEURA (XMIL:30IA)</v>
    <v>24</v>
    <v>17</v>
    <v>Finance</v>
    <v>18</v>
    <v>5.37</v>
    <v>5.19</v>
    <v>-1.0999999999999999E-2</v>
    <v>-2.068E-3</v>
    <v>EUR</v>
    <v>Borsa Italiana</v>
    <v>XMIL</v>
    <v>1.1999999999999999E-3</v>
    <v>5.32</v>
    <v>ETF</v>
    <v>46168.524768518517</v>
    <v>5.3</v>
    <v>414846615.48000002</v>
    <v>iShiBdDc2030Trm€CpUCITSETFEURA</v>
    <v>5.32</v>
    <v>5.32</v>
    <v>5.3090000000000002</v>
    <v>30IA</v>
    <v>iShiBdDc2030Trm€CpUCITSETFEURA (XMIL:30IA)</v>
    <v>229151</v>
  </rv>
  <rv s="2">
    <v>73</v>
  </rv>
  <rv s="11">
    <v>en-GB</v>
    <v>cftxec</v>
    <v>268435456</v>
    <v>1</v>
    <v>Powered by Refinitiv</v>
    <v>23</v>
    <v>iShiBdDc2031Trm€CpUCITSETFEURA (XMIL:IG31)</v>
    <v>24</v>
    <v>17</v>
    <v>Finance</v>
    <v>18</v>
    <v>5.33</v>
    <v>5.09</v>
    <v>3.5000000000000003E-2</v>
    <v>6.6769999999999998E-3</v>
    <v>EUR</v>
    <v>Borsa Italiana</v>
    <v>XMIL</v>
    <v>1.1999999999999999E-3</v>
    <v>5.2770000000000001</v>
    <v>ETF</v>
    <v>46167.666666666664</v>
    <v>5.26</v>
    <v>181789297.71000001</v>
    <v>iShiBdDc2031Trm€CpUCITSETFEURA</v>
    <v>5.26</v>
    <v>5.242</v>
    <v>5.2770000000000001</v>
    <v>IG31</v>
    <v>iShiBdDc2031Trm€CpUCITSETFEURA (XMIL:IG31)</v>
    <v>19970</v>
  </rv>
  <rv s="2">
    <v>75</v>
  </rv>
  <rv s="0">
    <v>https://www.bing.com/financeapi/forcetrigger?t=ajgxc7&amp;q=XMIL%3aX13E&amp;form=skydnc</v>
    <v>Learn more on Bing</v>
  </rv>
  <rv s="9">
    <v>en-GB</v>
    <v>ajgxc7</v>
    <v>268435456</v>
    <v>1</v>
    <v>Powered by Refinitiv</v>
    <v>19</v>
    <v>X EUROZONE GOV 1-3 1C (XMIL:X13E)</v>
    <v>16</v>
    <v>20</v>
    <v>Finance</v>
    <v>18</v>
    <v>177.78</v>
    <v>170.46</v>
    <v>0.97650000000000003</v>
    <v>-0.1</v>
    <v>-5.7450000000000003E-4</v>
    <v>EUR</v>
    <v>Borsa Italiana</v>
    <v>XMIL</v>
    <v>1.5E-3</v>
    <v>174</v>
    <v>ETF</v>
    <v>46168.523784722223</v>
    <v>77</v>
    <v>173.87</v>
    <v>2802751500</v>
    <v>X EUROZONE GOV 1-3 1C</v>
    <v>174</v>
    <v>174.05</v>
    <v>173.95</v>
    <v>X13E</v>
    <v>X EUROZONE GOV 1-3 1C (XMIL:X13E)</v>
    <v>769</v>
  </rv>
  <rv s="2">
    <v>78</v>
  </rv>
  <rv s="0">
    <v>https://www.bing.com/financeapi/forcetrigger?t=ajew2w&amp;q=XMIL%3aEM35&amp;form=skydnc</v>
    <v>Learn more on Bing</v>
  </rv>
  <rv s="9">
    <v>en-GB</v>
    <v>ajew2w</v>
    <v>268435456</v>
    <v>1</v>
    <v>Powered by Refinitiv</v>
    <v>19</v>
    <v>Amundi Eur Gv Bd 3-5YUCITSETFA (XMIL:EM35)</v>
    <v>16</v>
    <v>20</v>
    <v>Finance</v>
    <v>18</v>
    <v>154.24</v>
    <v>150.01</v>
    <v>1.0043</v>
    <v>-0.35</v>
    <v>-2.2929999999999999E-3</v>
    <v>EUR</v>
    <v>Borsa Italiana</v>
    <v>XMIL</v>
    <v>1.5E-3</v>
    <v>152.49</v>
    <v>ETF</v>
    <v>46168.523993055554</v>
    <v>80</v>
    <v>152.30000000000001</v>
    <v>1924148006.53</v>
    <v>Amundi Eur Gv Bd 3-5YUCITSETFA</v>
    <v>152.34</v>
    <v>152.66999999999999</v>
    <v>152.32</v>
    <v>EM35</v>
    <v>Amundi Eur Gv Bd 3-5YUCITSETFA (XMIL:EM35)</v>
    <v>5210</v>
  </rv>
  <rv s="2">
    <v>81</v>
  </rv>
  <rv s="11">
    <v>en-GB</v>
    <v>cd67hw</v>
    <v>268435456</v>
    <v>1</v>
    <v>Powered by Refinitiv</v>
    <v>23</v>
    <v>X MSCI Wld ex USA UCITS ETF 1C (XMIL:EXUS)</v>
    <v>24</v>
    <v>17</v>
    <v>Finance</v>
    <v>18</v>
    <v>38.950000000000003</v>
    <v>31.1</v>
    <v>-0.25</v>
    <v>-6.4229999999999999E-3</v>
    <v>EUR</v>
    <v>Borsa Italiana</v>
    <v>XMIL</v>
    <v>1.5E-3</v>
    <v>38.75</v>
    <v>ETF</v>
    <v>46168.524825300781</v>
    <v>38.6</v>
    <v>6145882589.1899996</v>
    <v>X MSCI Wld ex USA UCITS ETF 1C</v>
    <v>38.725000000000001</v>
    <v>38.92</v>
    <v>38.67</v>
    <v>EXUS</v>
    <v>X MSCI Wld ex USA UCITS ETF 1C (XMIL:EXUS)</v>
    <v>22040</v>
  </rv>
  <rv s="2">
    <v>83</v>
  </rv>
  <rv s="0">
    <v>https://www.bing.com/financeapi/forcetrigger?t=ajel52&amp;q=XMIL%3aCSEMU&amp;form=skydnc</v>
    <v>Learn more on Bing</v>
  </rv>
  <rv s="9">
    <v>en-GB</v>
    <v>ajel52</v>
    <v>268435456</v>
    <v>1</v>
    <v>Powered by Refinitiv</v>
    <v>19</v>
    <v>iShares CoreMSCI EMU EUR A (XMIL:CSEMU)</v>
    <v>16</v>
    <v>20</v>
    <v>Finance</v>
    <v>18</v>
    <v>239.54</v>
    <v>195</v>
    <v>1.0454000000000001</v>
    <v>-1.2</v>
    <v>-5.0130000000000001E-3</v>
    <v>EUR</v>
    <v>Borsa Italiana</v>
    <v>XMIL</v>
    <v>1.1999999999999999E-3</v>
    <v>238.65</v>
    <v>ETF</v>
    <v>46168.525034722225</v>
    <v>85</v>
    <v>237.57</v>
    <v>6625624082.3400002</v>
    <v>iShares CoreMSCI EMU EUR A</v>
    <v>238.62</v>
    <v>239.38</v>
    <v>238.18</v>
    <v>CSEMU</v>
    <v>iShares CoreMSCI EMU EUR A (XMIL:CSEMU)</v>
    <v>10150</v>
  </rv>
  <rv s="2">
    <v>86</v>
  </rv>
</rvData>
</file>

<file path=xl/richData/rdrichvaluestructure.xml><?xml version="1.0" encoding="utf-8"?>
<rvStructures xmlns="http://schemas.microsoft.com/office/spreadsheetml/2017/richdata" count="12">
  <s t="_hyperlink">
    <k n="Address" t="s"/>
    <k n="Text" t="s"/>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rvStructures>
</file>

<file path=xl/richData/rdsupportingpropertybag.xml><?xml version="1.0" encoding="utf-8"?>
<supportingPropertyBags xmlns="http://schemas.microsoft.com/office/spreadsheetml/2017/richdata2">
  <spbArrays count="8">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v t="s">%OutdatedReason</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spbArrays>
  <spbData count="26">
    <spb s="0">
      <v>0</v>
      <v>Name</v>
      <v>LearnMoreOnLink</v>
    </spb>
    <spb s="1">
      <v>0</v>
      <v>0</v>
      <v>0</v>
    </spb>
    <spb s="2">
      <v>1</v>
      <v>1</v>
      <v>1</v>
      <v>1</v>
    </spb>
    <spb s="3">
      <v>1</v>
      <v>2</v>
      <v>2</v>
      <v>1</v>
      <v>3</v>
      <v>1</v>
      <v>1</v>
      <v>1</v>
      <v>4</v>
      <v>4</v>
      <v>5</v>
      <v>6</v>
      <v>1</v>
      <v>1</v>
      <v>1</v>
      <v>4</v>
      <v>7</v>
      <v>8</v>
      <v>4</v>
    </spb>
    <spb s="4">
      <v>Delayed 15 minutes</v>
      <v>from previous close</v>
      <v>from previous close</v>
      <v>Borsa Italia</v>
      <v>GMT</v>
    </spb>
    <spb s="0">
      <v>1</v>
      <v>Name</v>
      <v>LearnMoreOnLink</v>
    </spb>
    <spb s="0">
      <v>2</v>
      <v>Name</v>
      <v>LearnMoreOnLink</v>
    </spb>
    <spb s="5">
      <v>1</v>
      <v>2</v>
      <v>2</v>
      <v>1</v>
      <v>3</v>
      <v>1</v>
      <v>1</v>
      <v>1</v>
      <v>4</v>
      <v>4</v>
      <v>5</v>
      <v>6</v>
      <v>1</v>
      <v>1</v>
      <v>1</v>
      <v>4</v>
      <v>7</v>
      <v>9</v>
      <v>8</v>
      <v>4</v>
    </spb>
    <spb s="5">
      <v>10</v>
      <v>2</v>
      <v>2</v>
      <v>10</v>
      <v>3</v>
      <v>10</v>
      <v>10</v>
      <v>10</v>
      <v>4</v>
      <v>4</v>
      <v>5</v>
      <v>11</v>
      <v>10</v>
      <v>10</v>
      <v>10</v>
      <v>4</v>
      <v>7</v>
      <v>9</v>
      <v>8</v>
      <v>4</v>
    </spb>
    <spb s="4">
      <v>Real-Time Nasdaq Last Sale</v>
      <v>from previous close</v>
      <v>from previous close</v>
      <v>Source: Nasdaq Last Sale</v>
      <v>GMT</v>
    </spb>
    <spb s="0">
      <v>3</v>
      <v>Name</v>
      <v>LearnMoreOnLink</v>
    </spb>
    <spb s="6">
      <v>0</v>
      <v>0</v>
    </spb>
    <spb s="7">
      <v>11</v>
      <v>1</v>
      <v>1</v>
      <v>1</v>
      <v>1</v>
    </spb>
    <spb s="8">
      <v>10</v>
      <v>2</v>
      <v>2</v>
      <v>10</v>
      <v>3</v>
      <v>10</v>
      <v>12</v>
      <v>10</v>
      <v>10</v>
      <v>4</v>
      <v>4</v>
      <v>5</v>
      <v>11</v>
      <v>10</v>
      <v>10</v>
      <v>10</v>
      <v>4</v>
      <v>7</v>
      <v>9</v>
      <v>8</v>
      <v>4</v>
    </spb>
    <spb s="9">
      <v>Powered by Refinitiv</v>
    </spb>
    <spb s="0">
      <v>4</v>
      <v>Name</v>
      <v>LearnMoreOnLink</v>
    </spb>
    <spb s="10">
      <v>1</v>
      <v>1</v>
      <v>1</v>
    </spb>
    <spb s="11">
      <v>1</v>
      <v>1</v>
      <v>3</v>
      <v>1</v>
      <v>1</v>
      <v>1</v>
      <v>4</v>
      <v>5</v>
      <v>6</v>
      <v>1</v>
      <v>1</v>
      <v>5</v>
      <v>1</v>
      <v>7</v>
      <v>8</v>
    </spb>
    <spb s="12">
      <v>Delayed 15 minutes</v>
      <v>from previous close</v>
      <v>Borsa Italia</v>
      <v>from previous close</v>
      <v>GMT</v>
    </spb>
    <spb s="0">
      <v>5</v>
      <v>Name</v>
      <v>LearnMoreOnLink</v>
    </spb>
    <spb s="13">
      <v>1</v>
      <v>2</v>
      <v>1</v>
      <v>3</v>
      <v>1</v>
      <v>1</v>
      <v>1</v>
      <v>4</v>
      <v>5</v>
      <v>6</v>
      <v>1</v>
      <v>1</v>
      <v>5</v>
      <v>1</v>
      <v>7</v>
      <v>8</v>
    </spb>
    <spb s="0">
      <v>6</v>
      <v>Name</v>
      <v>LearnMoreOnLink</v>
    </spb>
    <spb s="14">
      <v>1</v>
      <v>1</v>
      <v>3</v>
      <v>1</v>
      <v>1</v>
      <v>1</v>
      <v>4</v>
      <v>5</v>
      <v>1</v>
      <v>1</v>
      <v>1</v>
      <v>7</v>
      <v>8</v>
    </spb>
    <spb s="15">
      <v>7</v>
      <v>Name</v>
    </spb>
    <spb s="16">
      <v>1</v>
      <v>1</v>
    </spb>
    <spb s="17">
      <v>Delayed 15 minutes</v>
      <v>from previous close</v>
      <v>from previous close</v>
      <v>GMT</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s>
  <s>
    <k n="Low" t="i"/>
    <k n="High" t="i"/>
    <k n="Name" t="i"/>
    <k n="Open" t="i"/>
    <k n="Price" t="i"/>
    <k n="Change" t="i"/>
    <k n="Volume" t="i"/>
    <k n="Change (%)" t="i"/>
    <k n="Market cap" t="i"/>
    <k n="52 week low" t="i"/>
    <k n="52 week high" t="i"/>
    <k n="Expense ratio" t="i"/>
    <k n="Previous close" t="i"/>
    <k n="Last trade time" t="i"/>
    <k n="`%EntityServiceId" t="i"/>
  </s>
  <s>
    <k n="Price" t="s"/>
    <k n="Change" t="s"/>
    <k n="Exchange" t="s"/>
    <k n="Change (%)" t="s"/>
    <k n="Last trade time" t="s"/>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52 week low" t="i"/>
    <k n="52 week high" t="i"/>
    <k n="Previous close" t="i"/>
    <k n="Last trade time" t="i"/>
    <k n="`%EntityServiceId" t="i"/>
  </s>
  <s>
    <k n="^Order" t="spba"/>
    <k n="TitleProperty" t="s"/>
  </s>
  <s>
    <k n="UniqueName" t="spb"/>
    <k n="`%ProviderInfo" t="spb"/>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dd/mm/yyyy\ hh:mm"/>
    </x:dxf>
    <x:dxf>
      <x:numFmt numFmtId="2" formatCode="0.00"/>
    </x:dxf>
    <x:dxf>
      <x:numFmt numFmtId="1" formatCode="0"/>
    </x:dxf>
  </dxfs>
  <richProperties>
    <rPr n="NumberFormat" t="s"/>
    <rPr n="IsTitleField" t="b"/>
    <rPr n="IsHeroField" t="b"/>
  </richProperties>
  <richStyles>
    <rSty dxfid="0">
      <rpv i="0">_([$€-x-euro2] * #,##0.00_);_([$€-x-euro2] * (#,##0.00);_([$€-x-euro2] * "-"??_);_(@_)</rpv>
    </rSty>
    <rSty dxfid="1">
      <rpv i="0">#,##0.00</rpv>
    </rSty>
    <rSty>
      <rpv i="1">1</rpv>
    </rSty>
    <rSty dxfid="2">
      <rpv i="0">#,##0</rpv>
    </rSty>
    <rSty dxfid="3"/>
    <rSty dxfid="0">
      <rpv i="0">_([$€-x-euro2] * #,##0_);_([$€-x-euro2] * (#,##0);_([$€-x-euro2] * "-"_);_(@_)</rpv>
    </rSty>
    <rSty dxfid="4"/>
    <rSty dxfid="5">
      <rpv i="0">0.00</rpv>
    </rSty>
    <rSty dxfid="6">
      <rpv i="0">0</rpv>
    </rSty>
    <rSty dxfid="0">
      <rpv i="0">_([$$-en-US]* #,##0.00_);_([$$-en-US]* (#,##0.00);_([$$-en-US]* "-"??_);_(@_)</rpv>
    </rSty>
    <rSty dxfid="0">
      <rpv i="0">_([$$-en-US]* #,##0_);_([$$-en-US]* (#,##0);_([$$-en-US]* "-"_);_(@_)</rpv>
    </rSty>
    <rSty>
      <rpv i="2">1</rpv>
    </rSty>
  </richStyles>
</richStyleSheet>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B7CCC-BC9C-4342-8982-57B00EEE485F}" name="latest_symbol_BCH_BTC_ETH_OMG_XMR_XRA_XRP_CMC_PRO_API_KEY_d7866e6a_8b06_4197_a5e" displayName="latest_symbol_BCH_BTC_ETH_OMG_XMR_XRA_XRP_CMC_PRO_API_KEY_d7866e6a_8b06_4197_a5e" ref="B1:D31" tableType="queryTable" totalsRowShown="0">
  <autoFilter ref="B1:D31" xr:uid="{CC3C3665-FF5C-42E3-9B48-02A43342A15D}"/>
  <tableColumns count="3">
    <tableColumn id="1" xr3:uid="{3B28B91E-3CF8-4C40-B77B-52411E67F0DC}" uniqueName="1" name="Name" queryTableFieldId="1" dataDxfId="9" dataCellStyle="Normal 2"/>
    <tableColumn id="2" xr3:uid="{45407BA8-A577-4035-8556-5CBE071300ED}" uniqueName="2" name="Value.symbol" queryTableFieldId="2" dataDxfId="8" dataCellStyle="Normal 2"/>
    <tableColumn id="3" xr3:uid="{48FEEF1A-29A6-4D73-A5CE-9C88544342C1}" uniqueName="3" name="Value.quote.USD.price" queryTableFieldId="3" dataDxfId="7" dataCellStyle="Normal 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99CEE3-5388-4310-B9F9-CB79EFEA4CFB}" name="usd" displayName="usd" ref="G1:K146" tableType="queryTable" totalsRowShown="0">
  <autoFilter ref="G1:K146" xr:uid="{8B0348C0-82AB-4700-89A8-6BCAC5E0215E}"/>
  <tableColumns count="5">
    <tableColumn id="1" xr3:uid="{1DF27100-93E7-45FC-9635-F9B185E7C23A}" uniqueName="1" name="baseCurrency" queryTableFieldId="1" dataDxfId="6" dataCellStyle="Normal 2"/>
    <tableColumn id="2" xr3:uid="{9CB86A00-EA6B-4F47-A237-497D4914E518}" uniqueName="2" name="targetCurrency" queryTableFieldId="2" dataDxfId="5" dataCellStyle="Normal 2"/>
    <tableColumn id="5" xr3:uid="{083C5CAE-9BD4-40C0-8198-E7681E5AB0DD}" uniqueName="5" name="targetName" queryTableFieldId="5" dataDxfId="4" dataCellStyle="Normal 2"/>
    <tableColumn id="4" xr3:uid="{BBD3B986-E2F9-413D-8BAA-3ED1A53E46DC}" uniqueName="4" name="inverseRate" queryTableFieldId="4" dataDxfId="3" dataCellStyle="Normal 2"/>
    <tableColumn id="3" xr3:uid="{454B0326-EE4E-4DDC-A4EB-CDCF73208357}" uniqueName="3" name="exchangeRate" queryTableFieldId="3" dataDxfId="2" dataCellStyle="Normal 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FBB6-B2E1-4036-87F1-BD29DC9B5422}">
  <sheetPr codeName="Sheet1"/>
  <dimension ref="A1:AT132"/>
  <sheetViews>
    <sheetView zoomScaleNormal="100" workbookViewId="0">
      <pane xSplit="3" topLeftCell="G1" activePane="topRight" state="frozen"/>
      <selection pane="topRight" activeCell="I12" sqref="I12:I17"/>
    </sheetView>
  </sheetViews>
  <sheetFormatPr defaultRowHeight="15" x14ac:dyDescent="0.25"/>
  <cols>
    <col min="1" max="1" width="8.85546875" style="1" bestFit="1" customWidth="1"/>
    <col min="2" max="2" width="10.42578125" style="1" bestFit="1" customWidth="1"/>
    <col min="3" max="3" width="53.5703125" style="27" bestFit="1" customWidth="1"/>
    <col min="4" max="4" width="9.42578125" style="27" bestFit="1" customWidth="1"/>
    <col min="5" max="5" width="12.140625" style="27" bestFit="1" customWidth="1"/>
    <col min="6" max="6" width="17.28515625" style="27" bestFit="1" customWidth="1"/>
    <col min="7" max="7" width="13.85546875" style="1" bestFit="1" customWidth="1"/>
    <col min="8" max="8" width="14.140625" style="1" bestFit="1" customWidth="1"/>
    <col min="9" max="9" width="8.7109375" style="1" bestFit="1" customWidth="1"/>
    <col min="10" max="10" width="6.7109375" style="27" bestFit="1" customWidth="1"/>
    <col min="11" max="11" width="14.85546875" style="27" bestFit="1" customWidth="1"/>
    <col min="12" max="12" width="14.85546875" style="27" customWidth="1"/>
    <col min="13" max="13" width="65.140625" style="1" bestFit="1" customWidth="1"/>
    <col min="14" max="14" width="6.5703125" style="57" customWidth="1"/>
    <col min="15" max="15" width="15.42578125" style="18" bestFit="1" customWidth="1"/>
    <col min="16" max="16" width="11.28515625" style="19" bestFit="1" customWidth="1"/>
    <col min="17" max="17" width="11.42578125" style="19" customWidth="1"/>
    <col min="18" max="18" width="11.5703125" style="2" bestFit="1" customWidth="1"/>
    <col min="19" max="19" width="12.42578125" style="4" bestFit="1" customWidth="1"/>
    <col min="20" max="20" width="10.140625" style="2" customWidth="1"/>
    <col min="21" max="21" width="12.5703125" style="30" bestFit="1" customWidth="1"/>
    <col min="22" max="22" width="7" style="3" bestFit="1" customWidth="1"/>
    <col min="23" max="23" width="13.28515625" style="3" bestFit="1" customWidth="1"/>
    <col min="24" max="24" width="9" style="21" bestFit="1" customWidth="1"/>
    <col min="25" max="25" width="22.42578125" style="17" bestFit="1" customWidth="1"/>
    <col min="26" max="26" width="11.42578125" bestFit="1" customWidth="1"/>
    <col min="27" max="27" width="10.42578125" style="33" bestFit="1" customWidth="1"/>
    <col min="28" max="28" width="12.5703125" style="36" bestFit="1" customWidth="1"/>
    <col min="29" max="29" width="11" style="8" customWidth="1"/>
    <col min="30" max="30" width="11.5703125" style="8" bestFit="1" customWidth="1"/>
    <col min="31" max="31" width="12.28515625" style="39" bestFit="1" customWidth="1"/>
    <col min="32" max="32" width="11.7109375" style="77" bestFit="1" customWidth="1"/>
    <col min="33" max="33" width="10.7109375" style="67" bestFit="1" customWidth="1"/>
    <col min="34" max="35" width="8.42578125" style="5" bestFit="1" customWidth="1"/>
    <col min="36" max="36" width="11.42578125" style="5" bestFit="1" customWidth="1"/>
    <col min="37" max="37" width="12.42578125" style="6" bestFit="1" customWidth="1"/>
    <col min="38" max="38" width="6.42578125" style="5" bestFit="1" customWidth="1"/>
    <col min="39" max="39" width="8" style="42" bestFit="1" customWidth="1"/>
    <col min="40" max="40" width="6.28515625" style="7" bestFit="1" customWidth="1"/>
    <col min="41" max="41" width="10.7109375" style="7" bestFit="1" customWidth="1"/>
    <col min="42" max="42" width="11.5703125" style="7" bestFit="1" customWidth="1"/>
    <col min="43" max="43" width="12.85546875" style="7" customWidth="1"/>
    <col min="44" max="44" width="11.7109375" style="45" bestFit="1" customWidth="1"/>
    <col min="45" max="45" width="11.42578125" style="5" bestFit="1" customWidth="1"/>
    <col min="46" max="46" width="10" style="45" bestFit="1" customWidth="1"/>
  </cols>
  <sheetData>
    <row r="1" spans="1:46" s="9" customFormat="1" ht="47.25" customHeight="1" x14ac:dyDescent="0.25">
      <c r="A1" s="26" t="s">
        <v>278</v>
      </c>
      <c r="B1" s="26" t="s">
        <v>326</v>
      </c>
      <c r="C1" s="26" t="s">
        <v>0</v>
      </c>
      <c r="D1" s="26" t="s">
        <v>1</v>
      </c>
      <c r="E1" s="26" t="s">
        <v>24</v>
      </c>
      <c r="F1" s="26" t="s">
        <v>275</v>
      </c>
      <c r="G1" s="26" t="s">
        <v>277</v>
      </c>
      <c r="H1" s="26" t="s">
        <v>296</v>
      </c>
      <c r="I1" s="26" t="s">
        <v>3</v>
      </c>
      <c r="J1" s="68" t="s">
        <v>9</v>
      </c>
      <c r="K1" s="26" t="s">
        <v>17</v>
      </c>
      <c r="L1" s="26" t="s">
        <v>18</v>
      </c>
      <c r="M1" s="26" t="s">
        <v>536</v>
      </c>
      <c r="N1" s="55" t="s">
        <v>22</v>
      </c>
      <c r="O1" s="10" t="s">
        <v>526</v>
      </c>
      <c r="P1" s="10" t="s">
        <v>13</v>
      </c>
      <c r="Q1" s="10" t="s">
        <v>288</v>
      </c>
      <c r="R1" s="10" t="s">
        <v>528</v>
      </c>
      <c r="S1" s="11" t="s">
        <v>5</v>
      </c>
      <c r="T1" s="10" t="s">
        <v>6</v>
      </c>
      <c r="U1" s="28" t="s">
        <v>11</v>
      </c>
      <c r="V1" s="12" t="s">
        <v>530</v>
      </c>
      <c r="W1" s="12" t="s">
        <v>7</v>
      </c>
      <c r="X1" s="13" t="s">
        <v>13</v>
      </c>
      <c r="Y1" s="9" t="s">
        <v>288</v>
      </c>
      <c r="Z1" s="9" t="s">
        <v>4</v>
      </c>
      <c r="AA1" s="31" t="s">
        <v>19</v>
      </c>
      <c r="AB1" s="34" t="s">
        <v>11</v>
      </c>
      <c r="AC1" s="13" t="s">
        <v>280</v>
      </c>
      <c r="AD1" s="13" t="s">
        <v>15</v>
      </c>
      <c r="AE1" s="37" t="s">
        <v>14</v>
      </c>
      <c r="AF1" s="75" t="s">
        <v>20</v>
      </c>
      <c r="AG1" s="66" t="s">
        <v>527</v>
      </c>
      <c r="AH1" s="14" t="s">
        <v>13</v>
      </c>
      <c r="AI1" s="14" t="s">
        <v>288</v>
      </c>
      <c r="AJ1" s="14" t="s">
        <v>529</v>
      </c>
      <c r="AK1" s="15" t="s">
        <v>5</v>
      </c>
      <c r="AL1" s="14" t="s">
        <v>6</v>
      </c>
      <c r="AM1" s="40" t="s">
        <v>11</v>
      </c>
      <c r="AN1" s="16" t="s">
        <v>531</v>
      </c>
      <c r="AO1" s="16" t="s">
        <v>520</v>
      </c>
      <c r="AP1" s="16" t="s">
        <v>12</v>
      </c>
      <c r="AQ1" s="16" t="s">
        <v>23</v>
      </c>
      <c r="AR1" s="43" t="s">
        <v>25</v>
      </c>
      <c r="AS1" s="14" t="s">
        <v>21</v>
      </c>
      <c r="AT1" s="43" t="s">
        <v>26</v>
      </c>
    </row>
    <row r="2" spans="1:46" s="17" customFormat="1" x14ac:dyDescent="0.25">
      <c r="A2" s="27">
        <v>13</v>
      </c>
      <c r="B2" s="27">
        <v>1</v>
      </c>
      <c r="C2" s="27" t="s">
        <v>379</v>
      </c>
      <c r="D2" s="27" t="s">
        <v>8</v>
      </c>
      <c r="E2" s="27" t="s">
        <v>273</v>
      </c>
      <c r="F2" s="27" t="s">
        <v>276</v>
      </c>
      <c r="G2" s="27" t="s">
        <v>380</v>
      </c>
      <c r="H2" s="27" t="s">
        <v>276</v>
      </c>
      <c r="I2" s="1">
        <v>18</v>
      </c>
      <c r="J2" s="27" t="s">
        <v>10</v>
      </c>
      <c r="K2" s="27" t="s">
        <v>381</v>
      </c>
      <c r="L2" s="27" t="s">
        <v>550</v>
      </c>
      <c r="M2" s="1" t="e" vm="1">
        <v>#VALUE!</v>
      </c>
      <c r="N2" s="56">
        <v>0.26</v>
      </c>
      <c r="O2" s="18">
        <v>45133</v>
      </c>
      <c r="P2" s="19" t="s">
        <v>354</v>
      </c>
      <c r="Q2" s="18" t="s">
        <v>417</v>
      </c>
      <c r="R2" s="2">
        <v>13.863</v>
      </c>
      <c r="S2" s="4">
        <v>0</v>
      </c>
      <c r="T2" s="2">
        <v>0</v>
      </c>
      <c r="U2" s="30">
        <v>1</v>
      </c>
      <c r="V2" s="3"/>
      <c r="W2" s="20">
        <f t="shared" ref="W2:W36" si="0">(I2/IF(OR(D2="O",D2="CE"),100,1)*R2*(1+S2)+T2)*U2+V2</f>
        <v>249.53399999999999</v>
      </c>
      <c r="X2" s="21" t="s">
        <v>354</v>
      </c>
      <c r="Y2" s="17" t="s">
        <v>417</v>
      </c>
      <c r="Z2" s="72">
        <v>9.1300000000000008</v>
      </c>
      <c r="AA2" s="32">
        <f>SUMIF(Operazioni!A:A,A2,Operazioni!C:C)</f>
        <v>0</v>
      </c>
      <c r="AB2" s="35">
        <f>INDEX(Valute!B:B,MATCH(J2,Valute!A:A,0))</f>
        <v>1.0000000018919131</v>
      </c>
      <c r="AC2" s="21">
        <f>SUMIF(Operazioni!A:A,A2,Operazioni!K:K)</f>
        <v>5.8015999999999996</v>
      </c>
      <c r="AD2" s="21">
        <f t="shared" ref="AD2:AD36" si="1">((I2+AA2)/IF(OR(D2="O",D2="CE"),100,1)*Z2)*AB2+AC2</f>
        <v>170.141600310917</v>
      </c>
      <c r="AE2" s="38">
        <f t="shared" ref="AE2:AE36" si="2">AD2-W2</f>
        <v>-79.392399689082993</v>
      </c>
      <c r="AF2" s="76">
        <f t="shared" ref="AF2:AF36" si="3">IF(W2&lt;&gt;0,AE2/W2,"")</f>
        <v>-0.31816265394328225</v>
      </c>
      <c r="AG2" s="67">
        <v>45531</v>
      </c>
      <c r="AH2" s="5" t="s">
        <v>354</v>
      </c>
      <c r="AI2" s="5" t="s">
        <v>417</v>
      </c>
      <c r="AJ2" s="5">
        <v>9.1300000000000008</v>
      </c>
      <c r="AK2" s="6"/>
      <c r="AL2" s="5">
        <v>2.95</v>
      </c>
      <c r="AM2" s="42">
        <v>1</v>
      </c>
      <c r="AN2" s="7"/>
      <c r="AO2" s="25">
        <f t="shared" ref="AO2:AO68" si="4">AC2*(1-N2)</f>
        <v>4.2931840000000001</v>
      </c>
      <c r="AP2" s="25">
        <f t="shared" ref="AP2:AP36" si="5">((I2+AA2)/IF(OR(D2="O",D2="CE"),100,1)*AJ2*(1-AK2)-AL2)*AM2-AN2+AC2</f>
        <v>167.19160000000002</v>
      </c>
      <c r="AQ2" s="25">
        <f t="shared" ref="AQ2:AQ36" si="6">AP2-W2</f>
        <v>-82.342399999999969</v>
      </c>
      <c r="AR2" s="44">
        <f t="shared" ref="AR2:AR36" si="7">IF(W2&lt;&gt;0,AQ2/W2,"")</f>
        <v>-0.32998469146489046</v>
      </c>
      <c r="AS2" s="25">
        <f t="shared" ref="AS2:AS36" si="8">(AQ2-AC2)*N2</f>
        <v>-22.917439999999992</v>
      </c>
      <c r="AT2" s="44">
        <f t="shared" ref="AT2:AT36" si="9">IF(W2&lt;&gt;0,(AQ2-AS2)/W2,"")</f>
        <v>-0.23814373993123172</v>
      </c>
    </row>
    <row r="3" spans="1:46" s="17" customFormat="1" x14ac:dyDescent="0.25">
      <c r="A3" s="27">
        <v>14</v>
      </c>
      <c r="B3" s="27">
        <v>1</v>
      </c>
      <c r="C3" s="27" t="s">
        <v>382</v>
      </c>
      <c r="D3" s="27" t="s">
        <v>8</v>
      </c>
      <c r="E3" s="27" t="s">
        <v>273</v>
      </c>
      <c r="F3" s="27" t="s">
        <v>276</v>
      </c>
      <c r="G3" s="27" t="s">
        <v>383</v>
      </c>
      <c r="H3" s="27" t="s">
        <v>276</v>
      </c>
      <c r="I3" s="1">
        <v>11</v>
      </c>
      <c r="J3" s="27" t="s">
        <v>10</v>
      </c>
      <c r="K3" s="27" t="s">
        <v>384</v>
      </c>
      <c r="L3" s="27" t="s">
        <v>555</v>
      </c>
      <c r="M3" s="1" t="e" vm="2">
        <v>#VALUE!</v>
      </c>
      <c r="N3" s="56">
        <v>0.26</v>
      </c>
      <c r="O3" s="18">
        <v>45132</v>
      </c>
      <c r="P3" s="19" t="s">
        <v>354</v>
      </c>
      <c r="Q3" s="18" t="s">
        <v>417</v>
      </c>
      <c r="R3" s="2">
        <v>22.417999999999999</v>
      </c>
      <c r="S3" s="4">
        <v>0</v>
      </c>
      <c r="T3" s="2">
        <v>0</v>
      </c>
      <c r="U3" s="30">
        <v>1</v>
      </c>
      <c r="V3" s="3"/>
      <c r="W3" s="20">
        <f t="shared" si="0"/>
        <v>246.59799999999998</v>
      </c>
      <c r="X3" s="21" t="s">
        <v>354</v>
      </c>
      <c r="Y3" s="17" t="s">
        <v>417</v>
      </c>
      <c r="Z3" s="72">
        <v>45</v>
      </c>
      <c r="AA3" s="32">
        <f>SUMIF(Operazioni!A:A,A3,Operazioni!C:C)</f>
        <v>0</v>
      </c>
      <c r="AB3" s="35">
        <f>INDEX(Valute!B:B,MATCH(J3,Valute!A:A,0))</f>
        <v>1.0000000018919131</v>
      </c>
      <c r="AC3" s="21">
        <f>SUMIF(Operazioni!A:A,A3,Operazioni!K:K)</f>
        <v>22.214799999999997</v>
      </c>
      <c r="AD3" s="21">
        <f t="shared" si="1"/>
        <v>517.214800936497</v>
      </c>
      <c r="AE3" s="38">
        <f t="shared" si="2"/>
        <v>270.61680093649704</v>
      </c>
      <c r="AF3" s="76">
        <f t="shared" si="3"/>
        <v>1.0974006315399842</v>
      </c>
      <c r="AG3" s="67">
        <v>45691</v>
      </c>
      <c r="AH3" s="5" t="s">
        <v>354</v>
      </c>
      <c r="AI3" s="5" t="s">
        <v>417</v>
      </c>
      <c r="AJ3" s="5">
        <v>45</v>
      </c>
      <c r="AK3" s="6"/>
      <c r="AL3" s="5">
        <v>2.95</v>
      </c>
      <c r="AM3" s="42">
        <v>1</v>
      </c>
      <c r="AN3" s="7"/>
      <c r="AO3" s="25">
        <f t="shared" si="4"/>
        <v>16.438951999999997</v>
      </c>
      <c r="AP3" s="25">
        <f t="shared" si="5"/>
        <v>514.26480000000004</v>
      </c>
      <c r="AQ3" s="25">
        <f t="shared" si="6"/>
        <v>267.66680000000008</v>
      </c>
      <c r="AR3" s="44">
        <f t="shared" si="7"/>
        <v>1.0854378381008771</v>
      </c>
      <c r="AS3" s="25">
        <f t="shared" si="8"/>
        <v>63.817520000000023</v>
      </c>
      <c r="AT3" s="44">
        <f t="shared" si="9"/>
        <v>0.82664612040649177</v>
      </c>
    </row>
    <row r="4" spans="1:46" s="17" customFormat="1" x14ac:dyDescent="0.25">
      <c r="A4" s="27">
        <v>15</v>
      </c>
      <c r="B4" s="27">
        <v>1</v>
      </c>
      <c r="C4" s="27" t="s">
        <v>385</v>
      </c>
      <c r="D4" s="27" t="s">
        <v>8</v>
      </c>
      <c r="E4" s="27" t="s">
        <v>273</v>
      </c>
      <c r="F4" s="27" t="s">
        <v>276</v>
      </c>
      <c r="G4" s="27" t="s">
        <v>386</v>
      </c>
      <c r="H4" s="27" t="s">
        <v>276</v>
      </c>
      <c r="I4" s="1">
        <v>25</v>
      </c>
      <c r="J4" s="27" t="s">
        <v>10</v>
      </c>
      <c r="K4" s="27" t="s">
        <v>387</v>
      </c>
      <c r="L4" s="27" t="s">
        <v>556</v>
      </c>
      <c r="M4" s="1" t="e" vm="3">
        <v>#VALUE!</v>
      </c>
      <c r="N4" s="56">
        <v>0.26</v>
      </c>
      <c r="O4" s="18">
        <v>45133</v>
      </c>
      <c r="P4" s="19" t="s">
        <v>354</v>
      </c>
      <c r="Q4" s="18" t="s">
        <v>417</v>
      </c>
      <c r="R4" s="2">
        <v>10.278</v>
      </c>
      <c r="S4" s="4">
        <v>0</v>
      </c>
      <c r="T4" s="2">
        <v>0</v>
      </c>
      <c r="U4" s="30">
        <v>1</v>
      </c>
      <c r="V4" s="3"/>
      <c r="W4" s="20">
        <f t="shared" si="0"/>
        <v>256.95</v>
      </c>
      <c r="X4" s="21" t="s">
        <v>354</v>
      </c>
      <c r="Y4" s="17" t="s">
        <v>417</v>
      </c>
      <c r="Z4" s="72" cm="1">
        <f t="array" aca="1" ref="Z4" ca="1">_FV(M4,"Price",TRUE)</f>
        <v>25.39</v>
      </c>
      <c r="AA4" s="32">
        <f>SUMIF(Operazioni!A:A,A4,Operazioni!C:C)</f>
        <v>0</v>
      </c>
      <c r="AB4" s="35">
        <f>INDEX(Valute!B:B,MATCH(J4,Valute!A:A,0))</f>
        <v>1.0000000018919131</v>
      </c>
      <c r="AC4" s="21">
        <f>SUMIF(Operazioni!A:A,A4,Operazioni!K:K)</f>
        <v>34.787399999999998</v>
      </c>
      <c r="AD4" s="21">
        <f t="shared" ca="1" si="1"/>
        <v>669.53740120089185</v>
      </c>
      <c r="AE4" s="38">
        <f t="shared" ca="1" si="2"/>
        <v>412.58740120089186</v>
      </c>
      <c r="AF4" s="76">
        <f t="shared" ca="1" si="3"/>
        <v>1.6057108433582092</v>
      </c>
      <c r="AG4" s="67">
        <v>45992</v>
      </c>
      <c r="AH4" s="5" t="s">
        <v>354</v>
      </c>
      <c r="AI4" s="5" t="s">
        <v>417</v>
      </c>
      <c r="AJ4" s="5">
        <v>20.56</v>
      </c>
      <c r="AK4" s="6"/>
      <c r="AL4" s="5">
        <v>2.95</v>
      </c>
      <c r="AM4" s="42">
        <v>1</v>
      </c>
      <c r="AN4" s="7"/>
      <c r="AO4" s="25">
        <f t="shared" si="4"/>
        <v>25.742675999999999</v>
      </c>
      <c r="AP4" s="25">
        <f t="shared" si="5"/>
        <v>545.8374</v>
      </c>
      <c r="AQ4" s="25">
        <f t="shared" si="6"/>
        <v>288.88740000000001</v>
      </c>
      <c r="AR4" s="44">
        <f t="shared" si="7"/>
        <v>1.1242942206654993</v>
      </c>
      <c r="AS4" s="25">
        <f t="shared" si="8"/>
        <v>66.066000000000003</v>
      </c>
      <c r="AT4" s="44">
        <f t="shared" si="9"/>
        <v>0.86717805020432004</v>
      </c>
    </row>
    <row r="5" spans="1:46" s="17" customFormat="1" x14ac:dyDescent="0.25">
      <c r="A5" s="27">
        <v>16</v>
      </c>
      <c r="B5" s="27">
        <v>1</v>
      </c>
      <c r="C5" s="27" t="s">
        <v>388</v>
      </c>
      <c r="D5" s="27" t="s">
        <v>8</v>
      </c>
      <c r="E5" s="27" t="s">
        <v>273</v>
      </c>
      <c r="F5" s="27" t="s">
        <v>276</v>
      </c>
      <c r="G5" s="27" t="s">
        <v>389</v>
      </c>
      <c r="H5" s="27" t="s">
        <v>276</v>
      </c>
      <c r="I5" s="1">
        <v>5</v>
      </c>
      <c r="J5" s="27" t="s">
        <v>10</v>
      </c>
      <c r="K5" s="27" t="s">
        <v>390</v>
      </c>
      <c r="L5" s="27" t="s">
        <v>557</v>
      </c>
      <c r="M5" s="1" t="e" vm="4">
        <v>#VALUE!</v>
      </c>
      <c r="N5" s="56">
        <v>0.26</v>
      </c>
      <c r="O5" s="18">
        <v>45132</v>
      </c>
      <c r="P5" s="19" t="s">
        <v>354</v>
      </c>
      <c r="Q5" s="18" t="s">
        <v>417</v>
      </c>
      <c r="R5" s="2">
        <v>46.09</v>
      </c>
      <c r="S5" s="4">
        <v>0</v>
      </c>
      <c r="T5" s="2">
        <v>0</v>
      </c>
      <c r="U5" s="30">
        <v>1</v>
      </c>
      <c r="V5" s="3"/>
      <c r="W5" s="20">
        <f t="shared" si="0"/>
        <v>230.45000000000002</v>
      </c>
      <c r="X5" s="21" t="s">
        <v>354</v>
      </c>
      <c r="Y5" s="17" t="s">
        <v>417</v>
      </c>
      <c r="Z5" s="72">
        <v>27.8</v>
      </c>
      <c r="AA5" s="32">
        <f>SUMIF(Operazioni!A:A,A5,Operazioni!C:C)</f>
        <v>0</v>
      </c>
      <c r="AB5" s="35">
        <f>INDEX(Valute!B:B,MATCH(J5,Valute!A:A,0))</f>
        <v>1.0000000018919131</v>
      </c>
      <c r="AC5" s="21">
        <f>SUMIF(Operazioni!A:A,A5,Operazioni!K:K)</f>
        <v>0.79919999999999991</v>
      </c>
      <c r="AD5" s="21">
        <f t="shared" si="1"/>
        <v>139.79920026297594</v>
      </c>
      <c r="AE5" s="38">
        <f t="shared" si="2"/>
        <v>-90.650799737024073</v>
      </c>
      <c r="AF5" s="76">
        <f t="shared" si="3"/>
        <v>-0.39336428612290764</v>
      </c>
      <c r="AG5" s="67">
        <v>45531</v>
      </c>
      <c r="AH5" s="5" t="s">
        <v>354</v>
      </c>
      <c r="AI5" s="5" t="s">
        <v>417</v>
      </c>
      <c r="AJ5" s="5">
        <v>27.8</v>
      </c>
      <c r="AK5" s="6"/>
      <c r="AL5" s="5">
        <v>2.95</v>
      </c>
      <c r="AM5" s="42">
        <v>1</v>
      </c>
      <c r="AN5" s="7"/>
      <c r="AO5" s="25">
        <f t="shared" si="4"/>
        <v>0.59140799999999993</v>
      </c>
      <c r="AP5" s="25">
        <f t="shared" si="5"/>
        <v>136.84920000000002</v>
      </c>
      <c r="AQ5" s="25">
        <f t="shared" si="6"/>
        <v>-93.600799999999992</v>
      </c>
      <c r="AR5" s="44">
        <f t="shared" si="7"/>
        <v>-0.40616532870470812</v>
      </c>
      <c r="AS5" s="25">
        <f t="shared" si="8"/>
        <v>-24.543999999999997</v>
      </c>
      <c r="AT5" s="44">
        <f t="shared" si="9"/>
        <v>-0.29966066391842044</v>
      </c>
    </row>
    <row r="6" spans="1:46" s="17" customFormat="1" x14ac:dyDescent="0.25">
      <c r="A6" s="27">
        <v>17</v>
      </c>
      <c r="B6" s="27">
        <v>1</v>
      </c>
      <c r="C6" s="27" t="s">
        <v>391</v>
      </c>
      <c r="D6" s="27" t="s">
        <v>8</v>
      </c>
      <c r="E6" s="27" t="s">
        <v>273</v>
      </c>
      <c r="F6" s="27" t="s">
        <v>276</v>
      </c>
      <c r="G6" s="27" t="s">
        <v>383</v>
      </c>
      <c r="H6" s="27" t="s">
        <v>276</v>
      </c>
      <c r="I6" s="1">
        <v>100</v>
      </c>
      <c r="J6" s="27" t="s">
        <v>10</v>
      </c>
      <c r="K6" s="27" t="s">
        <v>392</v>
      </c>
      <c r="L6" s="27" t="s">
        <v>554</v>
      </c>
      <c r="M6" s="1" t="e" vm="5">
        <v>#VALUE!</v>
      </c>
      <c r="N6" s="56">
        <v>0.26</v>
      </c>
      <c r="O6" s="18">
        <v>45132</v>
      </c>
      <c r="P6" s="19" t="s">
        <v>354</v>
      </c>
      <c r="Q6" s="18" t="s">
        <v>417</v>
      </c>
      <c r="R6" s="2">
        <v>2.5545</v>
      </c>
      <c r="S6" s="4">
        <v>0</v>
      </c>
      <c r="T6" s="2">
        <v>0</v>
      </c>
      <c r="U6" s="30">
        <v>1</v>
      </c>
      <c r="V6" s="3"/>
      <c r="W6" s="20">
        <f t="shared" si="0"/>
        <v>255.45</v>
      </c>
      <c r="X6" s="21" t="s">
        <v>354</v>
      </c>
      <c r="Y6" s="17" t="s">
        <v>417</v>
      </c>
      <c r="Z6" s="72">
        <v>5.109</v>
      </c>
      <c r="AA6" s="32">
        <f>SUMIF(Operazioni!A:A,A6,Operazioni!C:C)</f>
        <v>0</v>
      </c>
      <c r="AB6" s="35">
        <f>INDEX(Valute!B:B,MATCH(J6,Valute!A:A,0))</f>
        <v>1.0000000018919131</v>
      </c>
      <c r="AC6" s="21">
        <f>SUMIF(Operazioni!A:A,A6,Operazioni!K:K)</f>
        <v>47.138000000000005</v>
      </c>
      <c r="AD6" s="21">
        <f t="shared" si="1"/>
        <v>558.03800096657835</v>
      </c>
      <c r="AE6" s="38">
        <f t="shared" si="2"/>
        <v>302.58800096657836</v>
      </c>
      <c r="AF6" s="76">
        <f t="shared" si="3"/>
        <v>1.1845292658703401</v>
      </c>
      <c r="AG6" s="67">
        <v>45862</v>
      </c>
      <c r="AH6" s="5" t="s">
        <v>354</v>
      </c>
      <c r="AI6" s="5" t="s">
        <v>417</v>
      </c>
      <c r="AJ6" s="5">
        <v>5.109</v>
      </c>
      <c r="AK6" s="6"/>
      <c r="AL6" s="5">
        <v>2.95</v>
      </c>
      <c r="AM6" s="42">
        <v>1</v>
      </c>
      <c r="AN6" s="7"/>
      <c r="AO6" s="25">
        <f t="shared" si="4"/>
        <v>34.88212</v>
      </c>
      <c r="AP6" s="25">
        <f t="shared" si="5"/>
        <v>555.08799999999997</v>
      </c>
      <c r="AQ6" s="25">
        <f t="shared" si="6"/>
        <v>299.63799999999998</v>
      </c>
      <c r="AR6" s="44">
        <f t="shared" si="7"/>
        <v>1.1729810138970445</v>
      </c>
      <c r="AS6" s="25">
        <f t="shared" si="8"/>
        <v>65.649999999999991</v>
      </c>
      <c r="AT6" s="44">
        <f t="shared" si="9"/>
        <v>0.91598355842630652</v>
      </c>
    </row>
    <row r="7" spans="1:46" s="17" customFormat="1" x14ac:dyDescent="0.25">
      <c r="A7" s="27">
        <v>18</v>
      </c>
      <c r="B7" s="27">
        <v>1</v>
      </c>
      <c r="C7" s="27" t="s">
        <v>393</v>
      </c>
      <c r="D7" s="27" t="s">
        <v>8</v>
      </c>
      <c r="E7" s="27" t="s">
        <v>273</v>
      </c>
      <c r="F7" s="27" t="s">
        <v>276</v>
      </c>
      <c r="G7" s="27" t="s">
        <v>394</v>
      </c>
      <c r="H7" s="27" t="s">
        <v>276</v>
      </c>
      <c r="I7" s="1">
        <v>21</v>
      </c>
      <c r="J7" s="27" t="s">
        <v>10</v>
      </c>
      <c r="K7" s="27" t="s">
        <v>395</v>
      </c>
      <c r="L7" s="27" t="s">
        <v>558</v>
      </c>
      <c r="M7" s="1" t="e" vm="6">
        <v>#VALUE!</v>
      </c>
      <c r="N7" s="56">
        <v>0.26</v>
      </c>
      <c r="O7" s="18">
        <v>45133</v>
      </c>
      <c r="P7" s="19" t="s">
        <v>354</v>
      </c>
      <c r="Q7" s="18" t="s">
        <v>417</v>
      </c>
      <c r="R7" s="2">
        <v>11.64</v>
      </c>
      <c r="S7" s="4">
        <v>0</v>
      </c>
      <c r="T7" s="2">
        <v>0</v>
      </c>
      <c r="U7" s="30">
        <v>1</v>
      </c>
      <c r="V7" s="3"/>
      <c r="W7" s="20">
        <f t="shared" si="0"/>
        <v>244.44</v>
      </c>
      <c r="X7" s="21" t="s">
        <v>354</v>
      </c>
      <c r="Y7" s="17" t="s">
        <v>417</v>
      </c>
      <c r="Z7" s="72">
        <v>23.95</v>
      </c>
      <c r="AA7" s="32">
        <f>SUMIF(Operazioni!A:A,A7,Operazioni!C:C)</f>
        <v>0</v>
      </c>
      <c r="AB7" s="35">
        <f>INDEX(Valute!B:B,MATCH(J7,Valute!A:A,0))</f>
        <v>1.0000000018919131</v>
      </c>
      <c r="AC7" s="21">
        <f>SUMIF(Operazioni!A:A,A7,Operazioni!K:K)</f>
        <v>0</v>
      </c>
      <c r="AD7" s="21">
        <f t="shared" si="1"/>
        <v>502.95000095153767</v>
      </c>
      <c r="AE7" s="38">
        <f t="shared" si="2"/>
        <v>258.51000095153768</v>
      </c>
      <c r="AF7" s="76">
        <f t="shared" si="3"/>
        <v>1.0575601413497695</v>
      </c>
      <c r="AG7" s="67">
        <v>45446</v>
      </c>
      <c r="AH7" s="5" t="s">
        <v>354</v>
      </c>
      <c r="AI7" s="5" t="s">
        <v>417</v>
      </c>
      <c r="AJ7" s="5">
        <v>23.95</v>
      </c>
      <c r="AK7" s="6"/>
      <c r="AL7" s="5">
        <v>2.95</v>
      </c>
      <c r="AM7" s="42">
        <v>1</v>
      </c>
      <c r="AN7" s="7"/>
      <c r="AO7" s="25">
        <f t="shared" si="4"/>
        <v>0</v>
      </c>
      <c r="AP7" s="25">
        <f t="shared" si="5"/>
        <v>500</v>
      </c>
      <c r="AQ7" s="25">
        <f t="shared" si="6"/>
        <v>255.56</v>
      </c>
      <c r="AR7" s="44">
        <f t="shared" si="7"/>
        <v>1.0454917362133858</v>
      </c>
      <c r="AS7" s="25">
        <f t="shared" si="8"/>
        <v>66.445599999999999</v>
      </c>
      <c r="AT7" s="44">
        <f t="shared" si="9"/>
        <v>0.77366388479790538</v>
      </c>
    </row>
    <row r="8" spans="1:46" s="17" customFormat="1" x14ac:dyDescent="0.25">
      <c r="A8" s="27">
        <v>19</v>
      </c>
      <c r="B8" s="27">
        <v>1</v>
      </c>
      <c r="C8" s="27" t="s">
        <v>396</v>
      </c>
      <c r="D8" s="27" t="s">
        <v>8</v>
      </c>
      <c r="E8" s="27" t="s">
        <v>273</v>
      </c>
      <c r="F8" s="27" t="s">
        <v>276</v>
      </c>
      <c r="G8" s="27" t="s">
        <v>358</v>
      </c>
      <c r="H8" s="27" t="s">
        <v>276</v>
      </c>
      <c r="I8" s="1">
        <v>40</v>
      </c>
      <c r="J8" s="27" t="s">
        <v>10</v>
      </c>
      <c r="K8" s="27" t="s">
        <v>397</v>
      </c>
      <c r="L8" s="27" t="s">
        <v>553</v>
      </c>
      <c r="M8" s="1" t="e" vm="7">
        <v>#VALUE!</v>
      </c>
      <c r="N8" s="56">
        <v>0.26</v>
      </c>
      <c r="O8" s="18">
        <v>45133</v>
      </c>
      <c r="P8" s="19" t="s">
        <v>354</v>
      </c>
      <c r="Q8" s="18" t="s">
        <v>417</v>
      </c>
      <c r="R8" s="2">
        <v>6.3129999999999997</v>
      </c>
      <c r="S8" s="4">
        <v>0</v>
      </c>
      <c r="T8" s="2">
        <v>0</v>
      </c>
      <c r="U8" s="30">
        <v>1</v>
      </c>
      <c r="V8" s="3"/>
      <c r="W8" s="20">
        <f t="shared" si="0"/>
        <v>252.51999999999998</v>
      </c>
      <c r="X8" s="21" t="s">
        <v>354</v>
      </c>
      <c r="Y8" s="17" t="s">
        <v>417</v>
      </c>
      <c r="Z8" s="72" cm="1">
        <f t="array" aca="1" ref="Z8" ca="1">_FV(M8,"Price",TRUE)</f>
        <v>9.8620000000000001</v>
      </c>
      <c r="AA8" s="32">
        <f>SUMIF(Operazioni!A:A,A8,Operazioni!C:C)</f>
        <v>0</v>
      </c>
      <c r="AB8" s="35">
        <f>INDEX(Valute!B:B,MATCH(J8,Valute!A:A,0))</f>
        <v>1.0000000018919131</v>
      </c>
      <c r="AC8" s="21">
        <f>SUMIF(Operazioni!A:A,A8,Operazioni!K:K)</f>
        <v>34.631999999999998</v>
      </c>
      <c r="AD8" s="21">
        <f t="shared" ca="1" si="1"/>
        <v>429.11200074632188</v>
      </c>
      <c r="AE8" s="38">
        <f t="shared" ca="1" si="2"/>
        <v>176.5920007463219</v>
      </c>
      <c r="AF8" s="76">
        <f t="shared" ca="1" si="3"/>
        <v>0.69931886878790561</v>
      </c>
      <c r="AG8" s="67"/>
      <c r="AH8" s="5"/>
      <c r="AI8" s="5"/>
      <c r="AJ8" s="5"/>
      <c r="AK8" s="6"/>
      <c r="AL8" s="5"/>
      <c r="AM8" s="42"/>
      <c r="AN8" s="7"/>
      <c r="AO8" s="25">
        <f t="shared" si="4"/>
        <v>25.627679999999998</v>
      </c>
      <c r="AP8" s="25">
        <f t="shared" si="5"/>
        <v>34.631999999999998</v>
      </c>
      <c r="AQ8" s="25">
        <f t="shared" si="6"/>
        <v>-217.88799999999998</v>
      </c>
      <c r="AR8" s="44">
        <f t="shared" si="7"/>
        <v>-0.86285442737208928</v>
      </c>
      <c r="AS8" s="25">
        <f t="shared" si="8"/>
        <v>-65.655199999999994</v>
      </c>
      <c r="AT8" s="44">
        <f t="shared" si="9"/>
        <v>-0.60285442737208939</v>
      </c>
    </row>
    <row r="9" spans="1:46" s="17" customFormat="1" x14ac:dyDescent="0.25">
      <c r="A9" s="27">
        <v>20</v>
      </c>
      <c r="B9" s="27">
        <v>1</v>
      </c>
      <c r="C9" s="27" t="s">
        <v>398</v>
      </c>
      <c r="D9" s="27" t="s">
        <v>8</v>
      </c>
      <c r="E9" s="27" t="s">
        <v>273</v>
      </c>
      <c r="F9" s="27" t="s">
        <v>276</v>
      </c>
      <c r="G9" s="27" t="s">
        <v>358</v>
      </c>
      <c r="H9" s="27" t="s">
        <v>276</v>
      </c>
      <c r="I9" s="1">
        <v>19</v>
      </c>
      <c r="J9" s="27" t="s">
        <v>10</v>
      </c>
      <c r="K9" s="27" t="s">
        <v>399</v>
      </c>
      <c r="L9" s="27" t="s">
        <v>559</v>
      </c>
      <c r="M9" s="1" t="e" vm="8">
        <v>#VALUE!</v>
      </c>
      <c r="N9" s="56">
        <v>0.26</v>
      </c>
      <c r="O9" s="18">
        <v>45132</v>
      </c>
      <c r="P9" s="19" t="s">
        <v>354</v>
      </c>
      <c r="Q9" s="18" t="s">
        <v>417</v>
      </c>
      <c r="R9" s="2">
        <v>13.946999999999999</v>
      </c>
      <c r="S9" s="4">
        <v>0</v>
      </c>
      <c r="T9" s="2">
        <v>0</v>
      </c>
      <c r="U9" s="30">
        <v>1</v>
      </c>
      <c r="V9" s="3"/>
      <c r="W9" s="20">
        <f t="shared" si="0"/>
        <v>264.99299999999999</v>
      </c>
      <c r="X9" s="21" t="s">
        <v>354</v>
      </c>
      <c r="Y9" s="17" t="s">
        <v>417</v>
      </c>
      <c r="Z9" s="72" cm="1">
        <f t="array" aca="1" ref="Z9" ca="1">_FV(M9,"Price",TRUE)</f>
        <v>23.184999999999999</v>
      </c>
      <c r="AA9" s="32">
        <f>SUMIF(Operazioni!A:A,A9,Operazioni!C:C)</f>
        <v>0</v>
      </c>
      <c r="AB9" s="35">
        <f>INDEX(Valute!B:B,MATCH(J9,Valute!A:A,0))</f>
        <v>1.0000000018919131</v>
      </c>
      <c r="AC9" s="21">
        <f>SUMIF(Operazioni!A:A,A9,Operazioni!K:K)</f>
        <v>39.035000000000004</v>
      </c>
      <c r="AD9" s="21">
        <f t="shared" ca="1" si="1"/>
        <v>479.55000083341611</v>
      </c>
      <c r="AE9" s="38">
        <f t="shared" ca="1" si="2"/>
        <v>214.55700083341611</v>
      </c>
      <c r="AF9" s="76">
        <f t="shared" ca="1" si="3"/>
        <v>0.80967044726998871</v>
      </c>
      <c r="AG9" s="67"/>
      <c r="AH9" s="5"/>
      <c r="AI9" s="5"/>
      <c r="AJ9" s="5"/>
      <c r="AK9" s="6"/>
      <c r="AL9" s="5"/>
      <c r="AM9" s="42"/>
      <c r="AN9" s="7"/>
      <c r="AO9" s="25">
        <f t="shared" si="4"/>
        <v>28.885900000000003</v>
      </c>
      <c r="AP9" s="25">
        <f t="shared" si="5"/>
        <v>39.035000000000004</v>
      </c>
      <c r="AQ9" s="25">
        <f t="shared" si="6"/>
        <v>-225.958</v>
      </c>
      <c r="AR9" s="44">
        <f t="shared" si="7"/>
        <v>-0.85269422211152746</v>
      </c>
      <c r="AS9" s="25">
        <f t="shared" si="8"/>
        <v>-68.898179999999996</v>
      </c>
      <c r="AT9" s="44">
        <f t="shared" si="9"/>
        <v>-0.59269422211152745</v>
      </c>
    </row>
    <row r="10" spans="1:46" s="17" customFormat="1" x14ac:dyDescent="0.25">
      <c r="A10" s="27">
        <v>21</v>
      </c>
      <c r="B10" s="27">
        <v>1</v>
      </c>
      <c r="C10" s="27" t="s">
        <v>400</v>
      </c>
      <c r="D10" s="27" t="s">
        <v>8</v>
      </c>
      <c r="E10" s="27" t="s">
        <v>273</v>
      </c>
      <c r="F10" s="27" t="s">
        <v>307</v>
      </c>
      <c r="G10" s="27" t="s">
        <v>389</v>
      </c>
      <c r="H10" s="27" t="s">
        <v>307</v>
      </c>
      <c r="I10" s="1">
        <v>2</v>
      </c>
      <c r="J10" s="27" t="s">
        <v>28</v>
      </c>
      <c r="K10" s="27" t="s">
        <v>401</v>
      </c>
      <c r="L10" s="27" t="s">
        <v>537</v>
      </c>
      <c r="M10" s="1" t="e" vm="9">
        <v>#VALUE!</v>
      </c>
      <c r="N10" s="56">
        <v>0.26</v>
      </c>
      <c r="O10" s="18">
        <v>44498</v>
      </c>
      <c r="P10" s="19" t="s">
        <v>402</v>
      </c>
      <c r="Q10" s="18" t="s">
        <v>417</v>
      </c>
      <c r="R10" s="2">
        <v>155.27000000000001</v>
      </c>
      <c r="S10" s="4">
        <v>3.0000000000000001E-3</v>
      </c>
      <c r="T10" s="2">
        <v>0</v>
      </c>
      <c r="U10" s="30">
        <v>0.86399999999999999</v>
      </c>
      <c r="V10" s="3">
        <v>12.95</v>
      </c>
      <c r="W10" s="20">
        <f t="shared" si="0"/>
        <v>282.06147967999993</v>
      </c>
      <c r="X10" s="21" t="s">
        <v>402</v>
      </c>
      <c r="Y10" s="17" t="s">
        <v>417</v>
      </c>
      <c r="Z10" s="73" cm="1">
        <f t="array" aca="1" ref="Z10" ca="1">_FV(M10,"Price",TRUE)</f>
        <v>308.82</v>
      </c>
      <c r="AA10" s="32">
        <f>SUMIF(Operazioni!A:A,A10,Operazioni!C:C)</f>
        <v>0</v>
      </c>
      <c r="AB10" s="35">
        <f>INDEX(Valute!B:B,MATCH(J10,Valute!A:A,0))</f>
        <v>0.86002564999999997</v>
      </c>
      <c r="AC10" s="21">
        <f>SUMIF(Operazioni!A:A,A10,Operazioni!K:K)</f>
        <v>5.6018000000000008</v>
      </c>
      <c r="AD10" s="21">
        <f t="shared" ca="1" si="1"/>
        <v>536.78804246599998</v>
      </c>
      <c r="AE10" s="38">
        <f t="shared" ca="1" si="2"/>
        <v>254.72656278600004</v>
      </c>
      <c r="AF10" s="76">
        <f t="shared" ca="1" si="3"/>
        <v>0.90308879849523771</v>
      </c>
      <c r="AG10" s="67"/>
      <c r="AH10" s="5"/>
      <c r="AI10" s="5"/>
      <c r="AJ10" s="5"/>
      <c r="AK10" s="6"/>
      <c r="AL10" s="5"/>
      <c r="AM10" s="42"/>
      <c r="AN10" s="7"/>
      <c r="AO10" s="25">
        <f t="shared" si="4"/>
        <v>4.1453320000000007</v>
      </c>
      <c r="AP10" s="25">
        <f t="shared" si="5"/>
        <v>5.6018000000000008</v>
      </c>
      <c r="AQ10" s="25">
        <f t="shared" si="6"/>
        <v>-276.45967967999991</v>
      </c>
      <c r="AR10" s="44">
        <f t="shared" si="7"/>
        <v>-0.98013979077768687</v>
      </c>
      <c r="AS10" s="25">
        <f t="shared" si="8"/>
        <v>-73.335984716799985</v>
      </c>
      <c r="AT10" s="44">
        <f t="shared" si="9"/>
        <v>-0.72013979077768675</v>
      </c>
    </row>
    <row r="11" spans="1:46" s="17" customFormat="1" x14ac:dyDescent="0.25">
      <c r="A11" s="27">
        <v>22</v>
      </c>
      <c r="B11" s="27">
        <v>1</v>
      </c>
      <c r="C11" s="27" t="s">
        <v>403</v>
      </c>
      <c r="D11" s="27" t="s">
        <v>8</v>
      </c>
      <c r="E11" s="27" t="s">
        <v>273</v>
      </c>
      <c r="F11" s="27" t="s">
        <v>307</v>
      </c>
      <c r="G11" s="27" t="s">
        <v>389</v>
      </c>
      <c r="H11" s="27" t="s">
        <v>307</v>
      </c>
      <c r="I11" s="1">
        <v>2</v>
      </c>
      <c r="J11" s="27" t="s">
        <v>28</v>
      </c>
      <c r="K11" s="27" t="s">
        <v>404</v>
      </c>
      <c r="L11" s="27" t="s">
        <v>538</v>
      </c>
      <c r="M11" s="1" t="e" vm="10">
        <v>#VALUE!</v>
      </c>
      <c r="N11" s="56">
        <v>0.26</v>
      </c>
      <c r="O11" s="18">
        <v>45044</v>
      </c>
      <c r="P11" s="19" t="s">
        <v>402</v>
      </c>
      <c r="Q11" s="18" t="s">
        <v>417</v>
      </c>
      <c r="R11" s="2">
        <v>112.3447</v>
      </c>
      <c r="S11" s="4">
        <v>3.0000000000000001E-3</v>
      </c>
      <c r="T11" s="2">
        <v>0</v>
      </c>
      <c r="U11" s="30">
        <v>0.90890000000000004</v>
      </c>
      <c r="V11" s="3">
        <v>12.95</v>
      </c>
      <c r="W11" s="20">
        <f>(I11/IF(OR(D11="O",D11="CE"),100,1)*R11*(1+S11)+T11)*U11+V11</f>
        <v>217.78285624697997</v>
      </c>
      <c r="X11" s="21" t="s">
        <v>402</v>
      </c>
      <c r="Y11" s="17" t="s">
        <v>417</v>
      </c>
      <c r="Z11" s="73" cm="1">
        <f t="array" aca="1" ref="Z11" ca="1">_FV(M11,"Price",TRUE)</f>
        <v>266.32</v>
      </c>
      <c r="AA11" s="32">
        <f>SUMIF(Operazioni!A:A,A11,Operazioni!C:C)</f>
        <v>0</v>
      </c>
      <c r="AB11" s="35">
        <f>INDEX(Valute!B:B,MATCH(J11,Valute!A:A,0))</f>
        <v>0.86002564999999997</v>
      </c>
      <c r="AC11" s="21">
        <f>SUMIF(Operazioni!A:A,A11,Operazioni!K:K)</f>
        <v>0</v>
      </c>
      <c r="AD11" s="21">
        <f t="shared" ca="1" si="1"/>
        <v>458.08406221599995</v>
      </c>
      <c r="AE11" s="38">
        <f t="shared" ca="1" si="2"/>
        <v>240.30120596901997</v>
      </c>
      <c r="AF11" s="76">
        <f t="shared" ca="1" si="3"/>
        <v>1.1033981742644734</v>
      </c>
      <c r="AG11" s="67">
        <v>45992</v>
      </c>
      <c r="AH11" s="5" t="s">
        <v>402</v>
      </c>
      <c r="AI11" s="5" t="s">
        <v>339</v>
      </c>
      <c r="AJ11" s="5">
        <v>228.52539999999999</v>
      </c>
      <c r="AK11" s="6"/>
      <c r="AL11" s="5">
        <v>10</v>
      </c>
      <c r="AM11" s="5">
        <v>0.85719999999999996</v>
      </c>
      <c r="AN11" s="7"/>
      <c r="AO11" s="25">
        <f t="shared" si="4"/>
        <v>0</v>
      </c>
      <c r="AP11" s="25">
        <f t="shared" si="5"/>
        <v>383.21194575999999</v>
      </c>
      <c r="AQ11" s="25">
        <f t="shared" si="6"/>
        <v>165.42908951302002</v>
      </c>
      <c r="AR11" s="44">
        <f t="shared" si="7"/>
        <v>0.75960565658764545</v>
      </c>
      <c r="AS11" s="25">
        <f t="shared" si="8"/>
        <v>43.011563273385207</v>
      </c>
      <c r="AT11" s="44">
        <f t="shared" si="9"/>
        <v>0.56210818587485756</v>
      </c>
    </row>
    <row r="12" spans="1:46" s="17" customFormat="1" x14ac:dyDescent="0.25">
      <c r="A12" s="27">
        <v>32</v>
      </c>
      <c r="B12" s="27">
        <v>1</v>
      </c>
      <c r="C12" s="27" t="s">
        <v>405</v>
      </c>
      <c r="D12" s="27" t="s">
        <v>8</v>
      </c>
      <c r="E12" s="27" t="s">
        <v>273</v>
      </c>
      <c r="F12" s="27" t="s">
        <v>307</v>
      </c>
      <c r="G12" s="27" t="s">
        <v>389</v>
      </c>
      <c r="H12" s="27" t="s">
        <v>307</v>
      </c>
      <c r="I12" s="1">
        <v>10</v>
      </c>
      <c r="J12" s="27" t="s">
        <v>28</v>
      </c>
      <c r="K12" s="27" t="s">
        <v>406</v>
      </c>
      <c r="L12" s="27" t="s">
        <v>539</v>
      </c>
      <c r="M12" s="1" t="e" vm="11">
        <v>#VALUE!</v>
      </c>
      <c r="N12" s="56">
        <v>0.26</v>
      </c>
      <c r="O12" s="18">
        <v>42006</v>
      </c>
      <c r="P12" s="19" t="s">
        <v>402</v>
      </c>
      <c r="Q12" s="18" t="s">
        <v>417</v>
      </c>
      <c r="R12" s="2">
        <v>173.18</v>
      </c>
      <c r="S12" s="4">
        <v>0</v>
      </c>
      <c r="T12" s="2">
        <v>0</v>
      </c>
      <c r="U12" s="30">
        <v>1</v>
      </c>
      <c r="V12" s="3"/>
      <c r="W12" s="20">
        <f t="shared" si="0"/>
        <v>1731.8000000000002</v>
      </c>
      <c r="X12" s="21" t="s">
        <v>402</v>
      </c>
      <c r="Y12" s="17" t="s">
        <v>417</v>
      </c>
      <c r="Z12" s="73">
        <v>378.7</v>
      </c>
      <c r="AA12" s="32">
        <f>SUMIF(Operazioni!A:A,A12,Operazioni!C:C)</f>
        <v>0</v>
      </c>
      <c r="AB12" s="35">
        <f>INDEX(Valute!B:B,MATCH(J12,Valute!A:A,0))</f>
        <v>0.86002564999999997</v>
      </c>
      <c r="AC12" s="21">
        <f>SUMIF(Operazioni!A:A,A12,Operazioni!K:K)</f>
        <v>0</v>
      </c>
      <c r="AD12" s="21">
        <f t="shared" si="1"/>
        <v>3256.9171365500001</v>
      </c>
      <c r="AE12" s="38">
        <f t="shared" si="2"/>
        <v>1525.1171365499999</v>
      </c>
      <c r="AF12" s="76">
        <f t="shared" si="3"/>
        <v>0.88065431143896511</v>
      </c>
      <c r="AG12" s="67">
        <v>45301</v>
      </c>
      <c r="AH12" s="5" t="s">
        <v>402</v>
      </c>
      <c r="AI12" s="5" t="s">
        <v>417</v>
      </c>
      <c r="AJ12" s="5">
        <v>378.7</v>
      </c>
      <c r="AK12" s="6"/>
      <c r="AL12" s="5">
        <v>23.53</v>
      </c>
      <c r="AM12" s="5">
        <v>0.91159999999999997</v>
      </c>
      <c r="AN12" s="7"/>
      <c r="AO12" s="25">
        <f t="shared" si="4"/>
        <v>0</v>
      </c>
      <c r="AP12" s="25">
        <f t="shared" si="5"/>
        <v>3430.7792519999998</v>
      </c>
      <c r="AQ12" s="25">
        <f t="shared" si="6"/>
        <v>1698.9792519999996</v>
      </c>
      <c r="AR12" s="44">
        <f t="shared" si="7"/>
        <v>0.98104818801247229</v>
      </c>
      <c r="AS12" s="25">
        <f t="shared" si="8"/>
        <v>441.73460551999995</v>
      </c>
      <c r="AT12" s="44">
        <f t="shared" si="9"/>
        <v>0.72597565912922934</v>
      </c>
    </row>
    <row r="13" spans="1:46" s="17" customFormat="1" x14ac:dyDescent="0.25">
      <c r="A13" s="27">
        <v>30</v>
      </c>
      <c r="B13" s="27">
        <v>1</v>
      </c>
      <c r="C13" s="27" t="s">
        <v>405</v>
      </c>
      <c r="D13" s="27" t="s">
        <v>8</v>
      </c>
      <c r="E13" s="27" t="s">
        <v>273</v>
      </c>
      <c r="F13" s="27" t="s">
        <v>307</v>
      </c>
      <c r="G13" s="27" t="s">
        <v>389</v>
      </c>
      <c r="H13" s="27" t="s">
        <v>307</v>
      </c>
      <c r="I13" s="1">
        <v>17</v>
      </c>
      <c r="J13" s="27" t="s">
        <v>28</v>
      </c>
      <c r="K13" s="27" t="s">
        <v>406</v>
      </c>
      <c r="L13" s="27" t="s">
        <v>539</v>
      </c>
      <c r="M13" s="1" t="e" vm="11">
        <v>#VALUE!</v>
      </c>
      <c r="N13" s="56">
        <v>0.26</v>
      </c>
      <c r="O13" s="18">
        <v>45279</v>
      </c>
      <c r="P13" s="19" t="s">
        <v>402</v>
      </c>
      <c r="Q13" s="18" t="s">
        <v>417</v>
      </c>
      <c r="R13" s="2">
        <v>173.18</v>
      </c>
      <c r="S13" s="4">
        <v>0</v>
      </c>
      <c r="T13" s="2">
        <v>0</v>
      </c>
      <c r="U13" s="30">
        <v>1</v>
      </c>
      <c r="V13" s="3"/>
      <c r="W13" s="20">
        <f t="shared" si="0"/>
        <v>2944.06</v>
      </c>
      <c r="X13" s="21" t="s">
        <v>402</v>
      </c>
      <c r="Y13" s="17" t="s">
        <v>417</v>
      </c>
      <c r="Z13" s="81" cm="1">
        <f t="array" aca="1" ref="Z13" ca="1">_FV(M13,"Price",TRUE)</f>
        <v>418.57</v>
      </c>
      <c r="AA13" s="32">
        <f>SUMIF(Operazioni!A:A,A13,Operazioni!C:C)</f>
        <v>0</v>
      </c>
      <c r="AB13" s="35">
        <f>INDEX(Valute!B:B,MATCH(J13,Valute!A:A,0))</f>
        <v>0.86002564999999997</v>
      </c>
      <c r="AC13" s="21">
        <f>SUMIF(Operazioni!A:A,A13,Operazioni!K:K)</f>
        <v>0</v>
      </c>
      <c r="AD13" s="21">
        <f t="shared" ca="1" si="1"/>
        <v>6119.6759174484996</v>
      </c>
      <c r="AE13" s="38">
        <f t="shared" ca="1" si="2"/>
        <v>3175.6159174484997</v>
      </c>
      <c r="AF13" s="76">
        <f t="shared" ca="1" si="3"/>
        <v>1.0786519016081533</v>
      </c>
      <c r="AG13" s="67"/>
      <c r="AH13" s="5"/>
      <c r="AI13" s="5"/>
      <c r="AJ13" s="5"/>
      <c r="AK13" s="6"/>
      <c r="AL13" s="5"/>
      <c r="AM13" s="42"/>
      <c r="AN13" s="7"/>
      <c r="AO13" s="25">
        <f t="shared" si="4"/>
        <v>0</v>
      </c>
      <c r="AP13" s="25">
        <f t="shared" si="5"/>
        <v>0</v>
      </c>
      <c r="AQ13" s="25">
        <f t="shared" si="6"/>
        <v>-2944.06</v>
      </c>
      <c r="AR13" s="44">
        <f t="shared" si="7"/>
        <v>-1</v>
      </c>
      <c r="AS13" s="25">
        <f t="shared" si="8"/>
        <v>-765.4556</v>
      </c>
      <c r="AT13" s="44">
        <f t="shared" si="9"/>
        <v>-0.7400000000000001</v>
      </c>
    </row>
    <row r="14" spans="1:46" s="17" customFormat="1" x14ac:dyDescent="0.25">
      <c r="A14" s="27">
        <v>54</v>
      </c>
      <c r="B14" s="27">
        <v>1</v>
      </c>
      <c r="C14" s="27" t="s">
        <v>405</v>
      </c>
      <c r="D14" s="27" t="s">
        <v>8</v>
      </c>
      <c r="E14" s="27" t="s">
        <v>273</v>
      </c>
      <c r="F14" s="27" t="s">
        <v>307</v>
      </c>
      <c r="G14" s="27" t="s">
        <v>389</v>
      </c>
      <c r="H14" s="27" t="s">
        <v>307</v>
      </c>
      <c r="I14" s="1">
        <v>10</v>
      </c>
      <c r="J14" s="27" t="s">
        <v>28</v>
      </c>
      <c r="K14" s="27" t="s">
        <v>406</v>
      </c>
      <c r="L14" s="27" t="s">
        <v>539</v>
      </c>
      <c r="M14" s="1" t="e" vm="11">
        <v>#VALUE!</v>
      </c>
      <c r="N14" s="56">
        <v>0.26</v>
      </c>
      <c r="O14" s="18">
        <v>42006</v>
      </c>
      <c r="P14" s="19" t="s">
        <v>402</v>
      </c>
      <c r="Q14" s="18" t="s">
        <v>417</v>
      </c>
      <c r="R14" s="2">
        <v>173.18</v>
      </c>
      <c r="S14" s="4">
        <v>0</v>
      </c>
      <c r="T14" s="2">
        <v>0</v>
      </c>
      <c r="U14" s="30">
        <v>1</v>
      </c>
      <c r="V14" s="3"/>
      <c r="W14" s="20">
        <f t="shared" si="0"/>
        <v>1731.8000000000002</v>
      </c>
      <c r="X14" s="21" t="s">
        <v>402</v>
      </c>
      <c r="Y14" s="17" t="s">
        <v>417</v>
      </c>
      <c r="Z14" s="81">
        <v>454.6</v>
      </c>
      <c r="AA14" s="32">
        <f>SUMIF(Operazioni!A:A,A14,Operazioni!C:C)</f>
        <v>0</v>
      </c>
      <c r="AB14" s="35">
        <f>INDEX(Valute!B:B,MATCH(J14,Valute!A:A,0))</f>
        <v>0.86002564999999997</v>
      </c>
      <c r="AC14" s="21">
        <f>SUMIF(Operazioni!A:A,A14,Operazioni!K:K)</f>
        <v>0</v>
      </c>
      <c r="AD14" s="21">
        <f t="shared" ref="AD14" si="10">((I14+AA14)/IF(OR(D14="O",D14="CE"),100,1)*Z14)*AB14+AC14</f>
        <v>3909.6766048999998</v>
      </c>
      <c r="AE14" s="38">
        <f t="shared" ref="AE14" si="11">AD14-W14</f>
        <v>2177.8766048999996</v>
      </c>
      <c r="AF14" s="76">
        <f t="shared" si="3"/>
        <v>1.2575797464487812</v>
      </c>
      <c r="AG14" s="67">
        <v>45638</v>
      </c>
      <c r="AH14" s="5" t="s">
        <v>402</v>
      </c>
      <c r="AI14" s="5" t="s">
        <v>417</v>
      </c>
      <c r="AJ14" s="5">
        <v>454.6</v>
      </c>
      <c r="AK14" s="6"/>
      <c r="AL14" s="5">
        <v>27.28</v>
      </c>
      <c r="AM14" s="42">
        <v>0.95530000000000004</v>
      </c>
      <c r="AN14" s="7"/>
      <c r="AO14" s="25">
        <f t="shared" si="4"/>
        <v>0</v>
      </c>
      <c r="AP14" s="25">
        <f t="shared" si="5"/>
        <v>4316.7332160000005</v>
      </c>
      <c r="AQ14" s="25">
        <f t="shared" si="6"/>
        <v>2584.9332160000004</v>
      </c>
      <c r="AR14" s="44">
        <f t="shared" si="7"/>
        <v>1.4926280263309852</v>
      </c>
      <c r="AS14" s="25">
        <f>((AQ14-AC14)*N14)-240.53</f>
        <v>431.55263616000013</v>
      </c>
      <c r="AT14" s="44">
        <f t="shared" si="9"/>
        <v>1.2434349115602263</v>
      </c>
    </row>
    <row r="15" spans="1:46" x14ac:dyDescent="0.25">
      <c r="A15" s="27">
        <v>23</v>
      </c>
      <c r="B15" s="27">
        <v>1</v>
      </c>
      <c r="C15" s="27" t="s">
        <v>405</v>
      </c>
      <c r="D15" s="27" t="s">
        <v>8</v>
      </c>
      <c r="E15" s="27" t="s">
        <v>273</v>
      </c>
      <c r="F15" s="27" t="s">
        <v>307</v>
      </c>
      <c r="G15" s="27" t="s">
        <v>389</v>
      </c>
      <c r="H15" s="27" t="s">
        <v>307</v>
      </c>
      <c r="I15" s="1">
        <v>49</v>
      </c>
      <c r="J15" s="27" t="s">
        <v>28</v>
      </c>
      <c r="K15" s="27" t="s">
        <v>406</v>
      </c>
      <c r="L15" s="27" t="s">
        <v>539</v>
      </c>
      <c r="M15" s="1" t="e" vm="11">
        <v>#VALUE!</v>
      </c>
      <c r="N15" s="56">
        <v>0.26</v>
      </c>
      <c r="O15" s="18">
        <v>42006</v>
      </c>
      <c r="P15" s="19" t="s">
        <v>402</v>
      </c>
      <c r="Q15" s="18" t="s">
        <v>417</v>
      </c>
      <c r="R15" s="2">
        <v>173.18</v>
      </c>
      <c r="S15" s="4">
        <v>0</v>
      </c>
      <c r="T15" s="2">
        <v>0</v>
      </c>
      <c r="U15" s="30">
        <v>1</v>
      </c>
      <c r="W15" s="20">
        <f t="shared" si="0"/>
        <v>8485.82</v>
      </c>
      <c r="X15" s="21" t="s">
        <v>402</v>
      </c>
      <c r="Y15" s="17" t="s">
        <v>417</v>
      </c>
      <c r="Z15" s="73" cm="1">
        <f t="array" aca="1" ref="Z15" ca="1">_FV(M15,"Price",TRUE)</f>
        <v>418.57</v>
      </c>
      <c r="AA15" s="32">
        <f>SUMIF(Operazioni!A:A,A15,Operazioni!C:C)</f>
        <v>0</v>
      </c>
      <c r="AB15" s="35">
        <f>INDEX(Valute!B:B,MATCH(J15,Valute!A:A,0))</f>
        <v>0.86002564999999997</v>
      </c>
      <c r="AC15" s="21">
        <f>SUMIF(Operazioni!A:A,A15,Operazioni!K:K)</f>
        <v>626.38779999999997</v>
      </c>
      <c r="AD15" s="21">
        <f ca="1">((I15+AA15)/IF(OR(D15="O",D15="CE"),100,1)*Z15)*AB15+AC15</f>
        <v>18265.4536797045</v>
      </c>
      <c r="AE15" s="38">
        <f t="shared" ca="1" si="2"/>
        <v>9779.6336797045005</v>
      </c>
      <c r="AF15" s="76">
        <f t="shared" ca="1" si="3"/>
        <v>1.1524677261248177</v>
      </c>
      <c r="AO15" s="25">
        <f>AC15*(1-N15)</f>
        <v>463.526972</v>
      </c>
      <c r="AP15" s="25">
        <f>((I15+AA15)/IF(OR(D15="O",D15="CE"),100,1)*AJ15*(1-AK15)-AL15)*AM15-AN15+AC15</f>
        <v>626.38779999999997</v>
      </c>
      <c r="AQ15" s="25">
        <f t="shared" si="6"/>
        <v>-7859.4321999999993</v>
      </c>
      <c r="AR15" s="44">
        <f t="shared" si="7"/>
        <v>-0.92618417548333565</v>
      </c>
      <c r="AS15" s="25">
        <f>(AQ15-AC15)*N15</f>
        <v>-2206.3132000000001</v>
      </c>
      <c r="AT15" s="44">
        <f t="shared" si="9"/>
        <v>-0.66618417548333564</v>
      </c>
    </row>
    <row r="16" spans="1:46" x14ac:dyDescent="0.25">
      <c r="A16" s="27">
        <v>82</v>
      </c>
      <c r="B16" s="27">
        <v>1</v>
      </c>
      <c r="C16" s="27" t="s">
        <v>405</v>
      </c>
      <c r="D16" s="27" t="s">
        <v>8</v>
      </c>
      <c r="E16" s="27" t="s">
        <v>273</v>
      </c>
      <c r="F16" s="27" t="s">
        <v>307</v>
      </c>
      <c r="G16" s="27" t="s">
        <v>389</v>
      </c>
      <c r="H16" s="27" t="s">
        <v>307</v>
      </c>
      <c r="I16" s="1">
        <v>17</v>
      </c>
      <c r="J16" s="27" t="s">
        <v>28</v>
      </c>
      <c r="K16" s="27" t="s">
        <v>406</v>
      </c>
      <c r="L16" s="27" t="s">
        <v>539</v>
      </c>
      <c r="M16" s="1" t="e" vm="11">
        <v>#VALUE!</v>
      </c>
      <c r="N16" s="56">
        <v>0.26</v>
      </c>
      <c r="O16" s="18">
        <v>42359</v>
      </c>
      <c r="P16" s="19" t="s">
        <v>402</v>
      </c>
      <c r="Q16" s="18" t="s">
        <v>339</v>
      </c>
      <c r="R16" s="2">
        <v>399.12200000000001</v>
      </c>
      <c r="S16" s="4">
        <v>0</v>
      </c>
      <c r="T16" s="2">
        <v>0</v>
      </c>
      <c r="U16" s="30">
        <v>1</v>
      </c>
      <c r="W16" s="20">
        <f t="shared" si="0"/>
        <v>6785.0740000000005</v>
      </c>
      <c r="X16" s="21" t="s">
        <v>402</v>
      </c>
      <c r="Y16" s="17" t="s">
        <v>339</v>
      </c>
      <c r="Z16" s="73" cm="1">
        <f t="array" aca="1" ref="Z16" ca="1">_FV(M16,"Price",TRUE)</f>
        <v>418.57</v>
      </c>
      <c r="AA16" s="32">
        <f>SUMIF(Operazioni!A:A,A16,Operazioni!C:C)</f>
        <v>0</v>
      </c>
      <c r="AB16" s="35">
        <f>INDEX(Valute!B:B,MATCH(J16,Valute!A:A,0))</f>
        <v>0.86002564999999997</v>
      </c>
      <c r="AC16" s="21">
        <f>SUMIF(Operazioni!A:A,A16,Operazioni!K:K)</f>
        <v>0</v>
      </c>
      <c r="AD16" s="21">
        <f ca="1">((I16+AA16)/IF(OR(D16="O",D16="CE"),100,1)*Z16)*AB16+AC16</f>
        <v>6119.6759174484996</v>
      </c>
      <c r="AE16" s="38">
        <f t="shared" ca="1" si="2"/>
        <v>-665.39808255150092</v>
      </c>
      <c r="AF16" s="76">
        <f t="shared" ca="1" si="3"/>
        <v>-9.8067918279373348E-2</v>
      </c>
      <c r="AO16" s="25"/>
      <c r="AP16" s="25"/>
      <c r="AQ16" s="25"/>
      <c r="AR16" s="44"/>
      <c r="AS16" s="25"/>
      <c r="AT16" s="44"/>
    </row>
    <row r="17" spans="1:46" x14ac:dyDescent="0.25">
      <c r="A17" s="27">
        <v>56</v>
      </c>
      <c r="B17" s="27">
        <v>1</v>
      </c>
      <c r="C17" s="27" t="s">
        <v>405</v>
      </c>
      <c r="D17" s="27" t="s">
        <v>8</v>
      </c>
      <c r="E17" s="27" t="s">
        <v>273</v>
      </c>
      <c r="F17" s="27" t="s">
        <v>307</v>
      </c>
      <c r="G17" s="27" t="s">
        <v>389</v>
      </c>
      <c r="H17" s="27" t="s">
        <v>307</v>
      </c>
      <c r="I17" s="1">
        <v>17</v>
      </c>
      <c r="J17" s="27" t="s">
        <v>28</v>
      </c>
      <c r="K17" s="27" t="s">
        <v>406</v>
      </c>
      <c r="L17" s="27" t="s">
        <v>539</v>
      </c>
      <c r="M17" s="1" t="e" vm="11">
        <v>#VALUE!</v>
      </c>
      <c r="N17" s="56">
        <v>0.26</v>
      </c>
      <c r="O17" s="18">
        <v>45667</v>
      </c>
      <c r="P17" s="19" t="s">
        <v>402</v>
      </c>
      <c r="Q17" s="18" t="s">
        <v>339</v>
      </c>
      <c r="R17" s="2">
        <v>399.12200000000001</v>
      </c>
      <c r="S17" s="4">
        <v>0</v>
      </c>
      <c r="T17" s="2">
        <v>0</v>
      </c>
      <c r="U17" s="30">
        <v>1</v>
      </c>
      <c r="W17" s="20">
        <f t="shared" si="0"/>
        <v>6785.0740000000005</v>
      </c>
      <c r="X17" s="21" t="s">
        <v>402</v>
      </c>
      <c r="Y17" s="17" t="s">
        <v>339</v>
      </c>
      <c r="Z17" s="73" cm="1">
        <f t="array" aca="1" ref="Z17" ca="1">_FV(M17,"Price",TRUE)</f>
        <v>418.57</v>
      </c>
      <c r="AA17" s="32">
        <f>SUMIF(Operazioni!A:A,A17,Operazioni!C:C)</f>
        <v>0</v>
      </c>
      <c r="AB17" s="35">
        <f>INDEX(Valute!B:B,MATCH(J17,Valute!A:A,0))</f>
        <v>0.86002564999999997</v>
      </c>
      <c r="AC17" s="21">
        <f>SUMIF(Operazioni!A:A,A17,Operazioni!K:K)</f>
        <v>0</v>
      </c>
      <c r="AD17" s="21">
        <f ca="1">((I17+AA17)/IF(OR(D17="O",D17="CE"),100,1)*Z17)*AB17+AC17</f>
        <v>6119.6759174484996</v>
      </c>
      <c r="AE17" s="38">
        <f t="shared" ca="1" si="2"/>
        <v>-665.39808255150092</v>
      </c>
      <c r="AF17" s="76">
        <f t="shared" ca="1" si="3"/>
        <v>-9.8067918279373348E-2</v>
      </c>
      <c r="AO17" s="25"/>
      <c r="AP17" s="25"/>
      <c r="AQ17" s="25"/>
      <c r="AR17" s="44"/>
      <c r="AS17" s="25"/>
      <c r="AT17" s="44"/>
    </row>
    <row r="18" spans="1:46" x14ac:dyDescent="0.25">
      <c r="A18" s="27">
        <v>1</v>
      </c>
      <c r="B18" s="27">
        <v>1</v>
      </c>
      <c r="C18" s="27" t="s">
        <v>350</v>
      </c>
      <c r="D18" s="27" t="s">
        <v>27</v>
      </c>
      <c r="E18" s="27" t="s">
        <v>273</v>
      </c>
      <c r="F18" s="27" t="s">
        <v>368</v>
      </c>
      <c r="G18" s="27"/>
      <c r="H18" s="27" t="s">
        <v>352</v>
      </c>
      <c r="I18" s="27">
        <v>10</v>
      </c>
      <c r="J18" s="27" t="s">
        <v>10</v>
      </c>
      <c r="K18" s="27" t="s">
        <v>353</v>
      </c>
      <c r="L18" s="27" t="s">
        <v>549</v>
      </c>
      <c r="M18" s="1" t="e" vm="12">
        <v>#VALUE!</v>
      </c>
      <c r="N18" s="56">
        <v>0.26</v>
      </c>
      <c r="O18" s="18">
        <v>45096</v>
      </c>
      <c r="P18" s="18" t="s">
        <v>354</v>
      </c>
      <c r="Q18" s="18" t="s">
        <v>417</v>
      </c>
      <c r="R18" s="19">
        <v>76.88</v>
      </c>
      <c r="S18" s="4">
        <v>0</v>
      </c>
      <c r="T18" s="19">
        <v>0</v>
      </c>
      <c r="U18" s="29">
        <v>1</v>
      </c>
      <c r="V18" s="20"/>
      <c r="W18" s="20">
        <f t="shared" si="0"/>
        <v>768.8</v>
      </c>
      <c r="X18" s="21" t="s">
        <v>354</v>
      </c>
      <c r="Y18" s="60" t="s">
        <v>417</v>
      </c>
      <c r="Z18" s="72" cm="1">
        <f t="array" aca="1" ref="Z18" ca="1">_FV(M18,"Price",TRUE)</f>
        <v>123.26</v>
      </c>
      <c r="AA18" s="32">
        <f>SUMIF(Operazioni!A:A,A18,Operazioni!C:C)</f>
        <v>0</v>
      </c>
      <c r="AB18" s="35">
        <f>INDEX(Valute!B:B,MATCH(J18,Valute!A:A,0))</f>
        <v>1.0000000018919131</v>
      </c>
      <c r="AC18" s="21">
        <f>SUMIF(Operazioni!A:A,A18,Operazioni!K:K)</f>
        <v>0</v>
      </c>
      <c r="AD18" s="21">
        <f t="shared" ca="1" si="1"/>
        <v>1232.6000023319723</v>
      </c>
      <c r="AE18" s="38">
        <f t="shared" ca="1" si="2"/>
        <v>463.80000233197234</v>
      </c>
      <c r="AF18" s="76">
        <f t="shared" ca="1" si="3"/>
        <v>0.60327783862119189</v>
      </c>
      <c r="AG18" s="22"/>
      <c r="AH18" s="22"/>
      <c r="AI18" s="22"/>
      <c r="AJ18" s="23"/>
      <c r="AK18" s="24"/>
      <c r="AL18" s="23"/>
      <c r="AM18" s="41"/>
      <c r="AN18" s="25"/>
      <c r="AO18" s="25">
        <f t="shared" si="4"/>
        <v>0</v>
      </c>
      <c r="AP18" s="25">
        <f t="shared" si="5"/>
        <v>0</v>
      </c>
      <c r="AQ18" s="25">
        <f t="shared" si="6"/>
        <v>-768.8</v>
      </c>
      <c r="AR18" s="44">
        <f t="shared" si="7"/>
        <v>-1</v>
      </c>
      <c r="AS18" s="25">
        <f t="shared" si="8"/>
        <v>-199.88800000000001</v>
      </c>
      <c r="AT18" s="44">
        <f t="shared" si="9"/>
        <v>-0.74</v>
      </c>
    </row>
    <row r="19" spans="1:46" x14ac:dyDescent="0.25">
      <c r="A19" s="27">
        <v>2</v>
      </c>
      <c r="B19" s="27">
        <v>1</v>
      </c>
      <c r="C19" s="27" t="s">
        <v>350</v>
      </c>
      <c r="D19" s="27" t="s">
        <v>27</v>
      </c>
      <c r="E19" s="27" t="s">
        <v>273</v>
      </c>
      <c r="F19" s="27" t="s">
        <v>368</v>
      </c>
      <c r="G19" s="27"/>
      <c r="H19" s="27" t="s">
        <v>352</v>
      </c>
      <c r="I19" s="27">
        <v>3</v>
      </c>
      <c r="J19" s="27" t="s">
        <v>10</v>
      </c>
      <c r="K19" s="27" t="s">
        <v>353</v>
      </c>
      <c r="L19" s="27" t="s">
        <v>549</v>
      </c>
      <c r="M19" s="1" t="e" vm="12">
        <v>#VALUE!</v>
      </c>
      <c r="N19" s="56">
        <v>0.26</v>
      </c>
      <c r="O19" s="18">
        <v>45131</v>
      </c>
      <c r="P19" s="18" t="s">
        <v>354</v>
      </c>
      <c r="Q19" s="18" t="s">
        <v>417</v>
      </c>
      <c r="R19" s="19">
        <v>77.38</v>
      </c>
      <c r="S19" s="4">
        <v>0</v>
      </c>
      <c r="T19" s="19">
        <v>0</v>
      </c>
      <c r="U19" s="29">
        <v>1</v>
      </c>
      <c r="V19" s="20"/>
      <c r="W19" s="20">
        <f t="shared" si="0"/>
        <v>232.14</v>
      </c>
      <c r="X19" s="21" t="s">
        <v>354</v>
      </c>
      <c r="Y19" s="60" t="s">
        <v>417</v>
      </c>
      <c r="Z19" s="72" cm="1">
        <f t="array" aca="1" ref="Z19" ca="1">_FV(M19,"Price",TRUE)</f>
        <v>123.26</v>
      </c>
      <c r="AA19" s="32">
        <f>SUMIF(Operazioni!A:A,A19,Operazioni!C:C)</f>
        <v>0</v>
      </c>
      <c r="AB19" s="35">
        <f>INDEX(Valute!B:B,MATCH(J19,Valute!A:A,0))</f>
        <v>1.0000000018919131</v>
      </c>
      <c r="AC19" s="21">
        <f>SUMIF(Operazioni!A:A,A19,Operazioni!K:K)</f>
        <v>0</v>
      </c>
      <c r="AD19" s="21">
        <f t="shared" ca="1" si="1"/>
        <v>369.78000069959165</v>
      </c>
      <c r="AE19" s="38">
        <f t="shared" ca="1" si="2"/>
        <v>137.64000069959167</v>
      </c>
      <c r="AF19" s="76">
        <f t="shared" ca="1" si="3"/>
        <v>0.59291806969756045</v>
      </c>
      <c r="AG19" s="22"/>
      <c r="AH19" s="23"/>
      <c r="AI19" s="23"/>
      <c r="AJ19" s="23"/>
      <c r="AK19" s="24"/>
      <c r="AL19" s="23"/>
      <c r="AM19" s="41"/>
      <c r="AN19" s="25"/>
      <c r="AO19" s="25">
        <f t="shared" si="4"/>
        <v>0</v>
      </c>
      <c r="AP19" s="25">
        <f t="shared" si="5"/>
        <v>0</v>
      </c>
      <c r="AQ19" s="25">
        <f t="shared" si="6"/>
        <v>-232.14</v>
      </c>
      <c r="AR19" s="44">
        <f t="shared" si="7"/>
        <v>-1</v>
      </c>
      <c r="AS19" s="25">
        <f t="shared" si="8"/>
        <v>-60.356400000000001</v>
      </c>
      <c r="AT19" s="44">
        <f t="shared" si="9"/>
        <v>-0.74</v>
      </c>
    </row>
    <row r="20" spans="1:46" x14ac:dyDescent="0.25">
      <c r="A20" s="27">
        <v>3</v>
      </c>
      <c r="B20" s="27">
        <v>1</v>
      </c>
      <c r="C20" s="27" t="s">
        <v>355</v>
      </c>
      <c r="D20" s="27" t="s">
        <v>27</v>
      </c>
      <c r="E20" s="27" t="s">
        <v>273</v>
      </c>
      <c r="F20" s="27" t="s">
        <v>369</v>
      </c>
      <c r="G20" s="27"/>
      <c r="H20" s="27" t="s">
        <v>304</v>
      </c>
      <c r="I20" s="27">
        <v>10</v>
      </c>
      <c r="J20" s="27" t="s">
        <v>10</v>
      </c>
      <c r="K20" s="27" t="s">
        <v>356</v>
      </c>
      <c r="L20" s="27" t="s">
        <v>548</v>
      </c>
      <c r="M20" s="1" t="e" vm="13">
        <v>#VALUE!</v>
      </c>
      <c r="N20" s="56">
        <v>0.26</v>
      </c>
      <c r="O20" s="18">
        <v>45096</v>
      </c>
      <c r="P20" s="18" t="s">
        <v>354</v>
      </c>
      <c r="Q20" s="18" t="s">
        <v>417</v>
      </c>
      <c r="R20" s="19">
        <v>51.31</v>
      </c>
      <c r="S20" s="4">
        <v>0</v>
      </c>
      <c r="T20" s="19">
        <v>0</v>
      </c>
      <c r="U20" s="29">
        <v>1</v>
      </c>
      <c r="V20" s="20">
        <v>2.95</v>
      </c>
      <c r="W20" s="20">
        <f t="shared" si="0"/>
        <v>516.05000000000007</v>
      </c>
      <c r="X20" s="21" t="s">
        <v>354</v>
      </c>
      <c r="Y20" s="60" t="s">
        <v>417</v>
      </c>
      <c r="Z20" s="72" cm="1">
        <f t="array" aca="1" ref="Z20" ca="1">_FV(M20,"Price",TRUE)</f>
        <v>70.959999999999994</v>
      </c>
      <c r="AA20" s="32">
        <f>SUMIF(Operazioni!A:A,A20,Operazioni!C:C)</f>
        <v>0</v>
      </c>
      <c r="AB20" s="35">
        <f>INDEX(Valute!B:B,MATCH(J20,Valute!A:A,0))</f>
        <v>1.0000000018919131</v>
      </c>
      <c r="AC20" s="21">
        <f>SUMIF(Operazioni!A:A,A20,Operazioni!K:K)</f>
        <v>24.937999999999999</v>
      </c>
      <c r="AD20" s="21">
        <f t="shared" ca="1" si="1"/>
        <v>734.53800134250139</v>
      </c>
      <c r="AE20" s="38">
        <f t="shared" ca="1" si="2"/>
        <v>218.48800134250132</v>
      </c>
      <c r="AF20" s="76">
        <f t="shared" ca="1" si="3"/>
        <v>0.4233853334802854</v>
      </c>
      <c r="AG20" s="22">
        <v>45992</v>
      </c>
      <c r="AH20" s="23" t="s">
        <v>354</v>
      </c>
      <c r="AI20" s="23" t="s">
        <v>417</v>
      </c>
      <c r="AJ20" s="23">
        <v>63.96</v>
      </c>
      <c r="AK20" s="24"/>
      <c r="AL20" s="23">
        <v>2.95</v>
      </c>
      <c r="AM20" s="41">
        <v>1</v>
      </c>
      <c r="AN20" s="25"/>
      <c r="AO20" s="25">
        <f t="shared" si="4"/>
        <v>18.45412</v>
      </c>
      <c r="AP20" s="25">
        <f t="shared" si="5"/>
        <v>661.58799999999997</v>
      </c>
      <c r="AQ20" s="25">
        <f t="shared" si="6"/>
        <v>145.5379999999999</v>
      </c>
      <c r="AR20" s="44">
        <f t="shared" si="7"/>
        <v>0.28202305978102871</v>
      </c>
      <c r="AS20" s="25">
        <f t="shared" si="8"/>
        <v>31.355999999999973</v>
      </c>
      <c r="AT20" s="44">
        <f t="shared" si="9"/>
        <v>0.22126150566805525</v>
      </c>
    </row>
    <row r="21" spans="1:46" x14ac:dyDescent="0.25">
      <c r="A21" s="27">
        <v>4</v>
      </c>
      <c r="B21" s="27">
        <v>1</v>
      </c>
      <c r="C21" s="27" t="s">
        <v>357</v>
      </c>
      <c r="D21" s="27" t="s">
        <v>27</v>
      </c>
      <c r="E21" s="27" t="s">
        <v>273</v>
      </c>
      <c r="F21" s="27" t="s">
        <v>351</v>
      </c>
      <c r="G21" s="27" t="s">
        <v>358</v>
      </c>
      <c r="H21" s="27" t="s">
        <v>352</v>
      </c>
      <c r="I21" s="27">
        <v>50</v>
      </c>
      <c r="J21" s="27" t="s">
        <v>10</v>
      </c>
      <c r="K21" s="27" t="s">
        <v>359</v>
      </c>
      <c r="L21" s="27" t="s">
        <v>547</v>
      </c>
      <c r="M21" s="1" t="e" vm="14">
        <v>#VALUE!</v>
      </c>
      <c r="N21" s="56">
        <v>0.26</v>
      </c>
      <c r="O21" s="18">
        <v>45112</v>
      </c>
      <c r="P21" s="19" t="s">
        <v>354</v>
      </c>
      <c r="Q21" s="18" t="s">
        <v>417</v>
      </c>
      <c r="R21" s="19">
        <v>9.6349999999999998</v>
      </c>
      <c r="S21" s="4">
        <v>0</v>
      </c>
      <c r="T21" s="19">
        <v>0</v>
      </c>
      <c r="U21" s="29">
        <v>1</v>
      </c>
      <c r="V21" s="20">
        <v>2.95</v>
      </c>
      <c r="W21" s="20">
        <f t="shared" si="0"/>
        <v>484.7</v>
      </c>
      <c r="X21" s="21" t="s">
        <v>354</v>
      </c>
      <c r="Y21" s="60" t="s">
        <v>417</v>
      </c>
      <c r="Z21" s="72">
        <v>7.4340999999999999</v>
      </c>
      <c r="AA21" s="32">
        <f>SUMIF(Operazioni!A:A,A21,Operazioni!C:C)</f>
        <v>0</v>
      </c>
      <c r="AB21" s="35">
        <f>INDEX(Valute!B:B,MATCH(J21,Valute!A:A,0))</f>
        <v>1.0000000018919131</v>
      </c>
      <c r="AC21" s="21">
        <f>SUMIF(Operazioni!A:A,A21,Operazioni!K:K)</f>
        <v>2.3531999999999997</v>
      </c>
      <c r="AD21" s="21">
        <f t="shared" si="1"/>
        <v>374.05820070323352</v>
      </c>
      <c r="AE21" s="38">
        <f t="shared" si="2"/>
        <v>-110.64179929676646</v>
      </c>
      <c r="AF21" s="76">
        <f t="shared" si="3"/>
        <v>-0.22826861831393949</v>
      </c>
      <c r="AG21" s="22">
        <v>45531</v>
      </c>
      <c r="AH21" s="23" t="s">
        <v>354</v>
      </c>
      <c r="AI21" s="23" t="s">
        <v>417</v>
      </c>
      <c r="AJ21" s="23">
        <v>7.4341200000000001</v>
      </c>
      <c r="AK21" s="24">
        <v>7.1999999999999998E-3</v>
      </c>
      <c r="AL21" s="23">
        <v>2.95</v>
      </c>
      <c r="AM21" s="41">
        <v>1</v>
      </c>
      <c r="AN21" s="25"/>
      <c r="AO21" s="25">
        <f t="shared" si="4"/>
        <v>1.7413679999999998</v>
      </c>
      <c r="AP21" s="25">
        <f t="shared" si="5"/>
        <v>368.43291680000004</v>
      </c>
      <c r="AQ21" s="25">
        <f t="shared" si="6"/>
        <v>-116.26708319999995</v>
      </c>
      <c r="AR21" s="44">
        <f t="shared" si="7"/>
        <v>-0.23987432061068692</v>
      </c>
      <c r="AS21" s="25">
        <f>(AQ21-AC21)*N21</f>
        <v>-30.841273631999986</v>
      </c>
      <c r="AT21" s="44">
        <f t="shared" si="9"/>
        <v>-0.17624470717557245</v>
      </c>
    </row>
    <row r="22" spans="1:46" x14ac:dyDescent="0.25">
      <c r="A22" s="27">
        <v>5</v>
      </c>
      <c r="B22" s="27">
        <v>1</v>
      </c>
      <c r="C22" s="27" t="s">
        <v>360</v>
      </c>
      <c r="D22" s="27" t="s">
        <v>27</v>
      </c>
      <c r="E22" s="27" t="s">
        <v>273</v>
      </c>
      <c r="F22" s="27" t="s">
        <v>307</v>
      </c>
      <c r="G22" s="27"/>
      <c r="H22" s="27" t="s">
        <v>352</v>
      </c>
      <c r="I22" s="27">
        <v>10</v>
      </c>
      <c r="J22" s="27" t="s">
        <v>10</v>
      </c>
      <c r="K22" s="27" t="s">
        <v>361</v>
      </c>
      <c r="L22" s="27" t="s">
        <v>546</v>
      </c>
      <c r="M22" s="1" t="e" vm="15">
        <v>#VALUE!</v>
      </c>
      <c r="N22" s="56">
        <v>0.26</v>
      </c>
      <c r="O22" s="18">
        <v>45112</v>
      </c>
      <c r="P22" s="19" t="s">
        <v>354</v>
      </c>
      <c r="Q22" s="18" t="s">
        <v>417</v>
      </c>
      <c r="R22" s="19">
        <v>40.630000000000003</v>
      </c>
      <c r="S22" s="4">
        <v>0</v>
      </c>
      <c r="T22" s="19">
        <v>0</v>
      </c>
      <c r="U22" s="29">
        <v>1</v>
      </c>
      <c r="V22" s="20">
        <v>2.95</v>
      </c>
      <c r="W22" s="20">
        <f t="shared" si="0"/>
        <v>409.25</v>
      </c>
      <c r="X22" s="21" t="s">
        <v>354</v>
      </c>
      <c r="Y22" s="17" t="s">
        <v>417</v>
      </c>
      <c r="Z22" s="72" cm="1">
        <f t="array" aca="1" ref="Z22" ca="1">_FV(M22,"Price",TRUE)</f>
        <v>64.45</v>
      </c>
      <c r="AA22" s="32">
        <f>SUMIF(Operazioni!A:A,A22,Operazioni!C:C)</f>
        <v>0</v>
      </c>
      <c r="AB22" s="35">
        <f>INDEX(Valute!B:B,MATCH(J22,Valute!A:A,0))</f>
        <v>1.0000000018919131</v>
      </c>
      <c r="AC22" s="21">
        <f>SUMIF(Operazioni!A:A,A22,Operazioni!K:K)</f>
        <v>14.073319999999999</v>
      </c>
      <c r="AD22" s="21">
        <f t="shared" ca="1" si="1"/>
        <v>658.57332121933791</v>
      </c>
      <c r="AE22" s="38">
        <f t="shared" ca="1" si="2"/>
        <v>249.32332121933791</v>
      </c>
      <c r="AF22" s="76">
        <f t="shared" ca="1" si="3"/>
        <v>0.60922008850174203</v>
      </c>
      <c r="AG22" s="22">
        <v>45992</v>
      </c>
      <c r="AH22" s="23" t="s">
        <v>354</v>
      </c>
      <c r="AI22" s="23" t="s">
        <v>417</v>
      </c>
      <c r="AJ22" s="23">
        <v>58.51</v>
      </c>
      <c r="AK22" s="24"/>
      <c r="AL22" s="23">
        <v>2.95</v>
      </c>
      <c r="AM22" s="41">
        <v>1</v>
      </c>
      <c r="AN22" s="25"/>
      <c r="AO22" s="25">
        <f t="shared" si="4"/>
        <v>10.414256799999999</v>
      </c>
      <c r="AP22" s="25">
        <f t="shared" si="5"/>
        <v>596.22331999999994</v>
      </c>
      <c r="AQ22" s="25">
        <f t="shared" si="6"/>
        <v>186.97331999999994</v>
      </c>
      <c r="AR22" s="44">
        <f t="shared" si="7"/>
        <v>0.45686822235797175</v>
      </c>
      <c r="AS22" s="25">
        <f t="shared" si="8"/>
        <v>44.953999999999986</v>
      </c>
      <c r="AT22" s="44">
        <f t="shared" si="9"/>
        <v>0.34702338423946233</v>
      </c>
    </row>
    <row r="23" spans="1:46" x14ac:dyDescent="0.25">
      <c r="A23" s="27">
        <v>6</v>
      </c>
      <c r="B23" s="27">
        <v>1</v>
      </c>
      <c r="C23" s="27" t="s">
        <v>360</v>
      </c>
      <c r="D23" s="27" t="s">
        <v>27</v>
      </c>
      <c r="E23" s="27" t="s">
        <v>273</v>
      </c>
      <c r="F23" s="27" t="s">
        <v>307</v>
      </c>
      <c r="G23" s="27"/>
      <c r="H23" s="27" t="s">
        <v>352</v>
      </c>
      <c r="I23" s="27">
        <v>15</v>
      </c>
      <c r="J23" s="27" t="s">
        <v>10</v>
      </c>
      <c r="K23" s="27" t="s">
        <v>361</v>
      </c>
      <c r="L23" s="27" t="s">
        <v>546</v>
      </c>
      <c r="M23" s="1" t="e" vm="15">
        <v>#VALUE!</v>
      </c>
      <c r="N23" s="56">
        <v>0.26</v>
      </c>
      <c r="O23" s="18">
        <v>45128</v>
      </c>
      <c r="P23" s="18" t="s">
        <v>354</v>
      </c>
      <c r="Q23" s="18" t="s">
        <v>417</v>
      </c>
      <c r="R23" s="19">
        <v>40.700000000000003</v>
      </c>
      <c r="S23" s="4">
        <v>0</v>
      </c>
      <c r="T23" s="19">
        <v>0</v>
      </c>
      <c r="U23" s="29">
        <v>1</v>
      </c>
      <c r="V23" s="20">
        <v>2.95</v>
      </c>
      <c r="W23" s="20">
        <f t="shared" si="0"/>
        <v>613.45000000000005</v>
      </c>
      <c r="X23" s="21" t="s">
        <v>354</v>
      </c>
      <c r="Y23" s="17" t="s">
        <v>417</v>
      </c>
      <c r="Z23" s="72" cm="1">
        <f t="array" aca="1" ref="Z23" ca="1">_FV(M23,"Price",TRUE)</f>
        <v>64.45</v>
      </c>
      <c r="AA23" s="32">
        <f>SUMIF(Operazioni!A:A,A23,Operazioni!C:C)</f>
        <v>0</v>
      </c>
      <c r="AB23" s="35">
        <f>INDEX(Valute!B:B,MATCH(J23,Valute!A:A,0))</f>
        <v>1.0000000018919131</v>
      </c>
      <c r="AC23" s="21">
        <f>SUMIF(Operazioni!A:A,A23,Operazioni!K:K)</f>
        <v>9.0294799999999995</v>
      </c>
      <c r="AD23" s="21">
        <f t="shared" ca="1" si="1"/>
        <v>975.77948182900695</v>
      </c>
      <c r="AE23" s="38">
        <f t="shared" ca="1" si="2"/>
        <v>362.32948182900691</v>
      </c>
      <c r="AF23" s="76">
        <f t="shared" ca="1" si="3"/>
        <v>0.59064223951260397</v>
      </c>
      <c r="AG23" s="22">
        <v>45992</v>
      </c>
      <c r="AH23" s="23" t="s">
        <v>354</v>
      </c>
      <c r="AI23" s="23" t="s">
        <v>417</v>
      </c>
      <c r="AJ23" s="23">
        <v>58.51</v>
      </c>
      <c r="AK23" s="24"/>
      <c r="AL23" s="23">
        <v>2.95</v>
      </c>
      <c r="AM23" s="41">
        <v>1</v>
      </c>
      <c r="AN23" s="25"/>
      <c r="AO23" s="25">
        <f t="shared" si="4"/>
        <v>6.6818152</v>
      </c>
      <c r="AP23" s="25">
        <f t="shared" si="5"/>
        <v>883.72947999999997</v>
      </c>
      <c r="AQ23" s="25">
        <f t="shared" si="6"/>
        <v>270.27947999999992</v>
      </c>
      <c r="AR23" s="44">
        <f t="shared" si="7"/>
        <v>0.44058925747819694</v>
      </c>
      <c r="AS23" s="25">
        <f t="shared" si="8"/>
        <v>67.924999999999983</v>
      </c>
      <c r="AT23" s="44">
        <f t="shared" si="9"/>
        <v>0.32986303692232444</v>
      </c>
    </row>
    <row r="24" spans="1:46" x14ac:dyDescent="0.25">
      <c r="A24" s="27">
        <v>7</v>
      </c>
      <c r="B24" s="27">
        <v>1</v>
      </c>
      <c r="C24" s="27" t="s">
        <v>362</v>
      </c>
      <c r="D24" s="27" t="s">
        <v>27</v>
      </c>
      <c r="E24" s="27" t="s">
        <v>273</v>
      </c>
      <c r="F24" s="27" t="s">
        <v>351</v>
      </c>
      <c r="G24" s="27" t="s">
        <v>389</v>
      </c>
      <c r="H24" s="27" t="s">
        <v>302</v>
      </c>
      <c r="I24" s="27">
        <v>20</v>
      </c>
      <c r="J24" s="27" t="s">
        <v>10</v>
      </c>
      <c r="K24" s="27" t="s">
        <v>363</v>
      </c>
      <c r="L24" s="27" t="s">
        <v>545</v>
      </c>
      <c r="M24" s="1" t="e" vm="16">
        <v>#VALUE!</v>
      </c>
      <c r="N24" s="56">
        <v>0.26</v>
      </c>
      <c r="O24" s="18">
        <v>45124</v>
      </c>
      <c r="P24" s="19" t="s">
        <v>354</v>
      </c>
      <c r="Q24" s="18" t="s">
        <v>417</v>
      </c>
      <c r="R24" s="19">
        <v>28.41</v>
      </c>
      <c r="S24" s="4">
        <v>0</v>
      </c>
      <c r="T24" s="19">
        <v>0</v>
      </c>
      <c r="U24" s="29">
        <v>1</v>
      </c>
      <c r="V24" s="20"/>
      <c r="W24" s="20">
        <f t="shared" si="0"/>
        <v>568.20000000000005</v>
      </c>
      <c r="X24" s="21" t="s">
        <v>354</v>
      </c>
      <c r="Y24" s="17" t="s">
        <v>417</v>
      </c>
      <c r="Z24" s="72">
        <v>57</v>
      </c>
      <c r="AA24" s="32">
        <f>SUMIF(Operazioni!A:A,A24,Operazioni!C:C)</f>
        <v>0</v>
      </c>
      <c r="AB24" s="35">
        <f>INDEX(Valute!B:B,MATCH(J24,Valute!A:A,0))</f>
        <v>1.0000000018919131</v>
      </c>
      <c r="AC24" s="21">
        <f>SUMIF(Operazioni!A:A,A24,Operazioni!K:K)</f>
        <v>0</v>
      </c>
      <c r="AD24" s="21">
        <f t="shared" si="1"/>
        <v>1140.000002156781</v>
      </c>
      <c r="AE24" s="38">
        <f t="shared" si="2"/>
        <v>571.80000215678092</v>
      </c>
      <c r="AF24" s="76">
        <f t="shared" si="3"/>
        <v>1.0063358010503007</v>
      </c>
      <c r="AG24" s="22">
        <v>45663</v>
      </c>
      <c r="AH24" s="23" t="s">
        <v>354</v>
      </c>
      <c r="AI24" s="23" t="s">
        <v>417</v>
      </c>
      <c r="AJ24" s="23">
        <v>57</v>
      </c>
      <c r="AK24" s="24"/>
      <c r="AL24" s="23">
        <v>2.95</v>
      </c>
      <c r="AM24" s="41">
        <v>1</v>
      </c>
      <c r="AN24" s="25"/>
      <c r="AO24" s="25">
        <f t="shared" si="4"/>
        <v>0</v>
      </c>
      <c r="AP24" s="25">
        <f t="shared" si="5"/>
        <v>1137.05</v>
      </c>
      <c r="AQ24" s="25">
        <f t="shared" si="6"/>
        <v>568.84999999999991</v>
      </c>
      <c r="AR24" s="44">
        <f t="shared" si="7"/>
        <v>1.0011439633931711</v>
      </c>
      <c r="AS24" s="25">
        <f t="shared" si="8"/>
        <v>147.90099999999998</v>
      </c>
      <c r="AT24" s="44">
        <f t="shared" si="9"/>
        <v>0.74084653291094671</v>
      </c>
    </row>
    <row r="25" spans="1:46" x14ac:dyDescent="0.25">
      <c r="A25" s="27">
        <v>8</v>
      </c>
      <c r="B25" s="27">
        <v>1</v>
      </c>
      <c r="C25" s="69" t="s">
        <v>364</v>
      </c>
      <c r="D25" s="27" t="s">
        <v>27</v>
      </c>
      <c r="E25" s="27" t="s">
        <v>273</v>
      </c>
      <c r="F25" s="27" t="s">
        <v>307</v>
      </c>
      <c r="G25" s="27" t="s">
        <v>389</v>
      </c>
      <c r="H25" s="27" t="s">
        <v>365</v>
      </c>
      <c r="I25" s="27">
        <v>6</v>
      </c>
      <c r="J25" s="27" t="s">
        <v>10</v>
      </c>
      <c r="K25" s="27" t="s">
        <v>366</v>
      </c>
      <c r="L25" s="27" t="s">
        <v>544</v>
      </c>
      <c r="M25" s="1" t="e" vm="17">
        <v>#VALUE!</v>
      </c>
      <c r="N25" s="56">
        <v>0.26</v>
      </c>
      <c r="O25" s="18">
        <v>45128</v>
      </c>
      <c r="P25" s="18" t="s">
        <v>354</v>
      </c>
      <c r="Q25" s="18" t="s">
        <v>417</v>
      </c>
      <c r="R25" s="19">
        <v>87</v>
      </c>
      <c r="S25" s="4">
        <v>0</v>
      </c>
      <c r="T25" s="19">
        <v>0</v>
      </c>
      <c r="U25" s="29">
        <v>1</v>
      </c>
      <c r="V25" s="20">
        <v>2.95</v>
      </c>
      <c r="W25" s="20">
        <f t="shared" si="0"/>
        <v>524.95000000000005</v>
      </c>
      <c r="X25" s="21" t="s">
        <v>354</v>
      </c>
      <c r="Y25" s="17" t="s">
        <v>417</v>
      </c>
      <c r="Z25" s="72" cm="1">
        <f t="array" aca="1" ref="Z25" ca="1">_FV(M25,"Price",TRUE)</f>
        <v>200.84</v>
      </c>
      <c r="AA25" s="32">
        <f>SUMIF(Operazioni!A:A,A25,Operazioni!C:C)</f>
        <v>0</v>
      </c>
      <c r="AB25" s="35">
        <f>INDEX(Valute!B:B,MATCH(J25,Valute!A:A,0))</f>
        <v>1.0000000018919131</v>
      </c>
      <c r="AC25" s="21">
        <f>SUMIF(Operazioni!A:A,A25,Operazioni!K:K)</f>
        <v>0</v>
      </c>
      <c r="AD25" s="21">
        <f t="shared" ca="1" si="1"/>
        <v>1205.0400022798308</v>
      </c>
      <c r="AE25" s="38">
        <f t="shared" ca="1" si="2"/>
        <v>680.09000227983074</v>
      </c>
      <c r="AF25" s="76">
        <f t="shared" ca="1" si="3"/>
        <v>1.2955329122389383</v>
      </c>
      <c r="AG25" s="22">
        <v>46156</v>
      </c>
      <c r="AH25" s="23" t="s">
        <v>354</v>
      </c>
      <c r="AI25" s="23" t="s">
        <v>417</v>
      </c>
      <c r="AJ25" s="23">
        <v>193.7</v>
      </c>
      <c r="AK25" s="24"/>
      <c r="AL25" s="23">
        <v>2.95</v>
      </c>
      <c r="AM25" s="41">
        <v>1</v>
      </c>
      <c r="AN25" s="25"/>
      <c r="AO25" s="25">
        <f t="shared" si="4"/>
        <v>0</v>
      </c>
      <c r="AP25" s="25">
        <f t="shared" si="5"/>
        <v>1159.2499999999998</v>
      </c>
      <c r="AQ25" s="25">
        <f t="shared" si="6"/>
        <v>634.29999999999973</v>
      </c>
      <c r="AR25" s="44">
        <f t="shared" si="7"/>
        <v>1.2083055529098004</v>
      </c>
      <c r="AS25" s="25">
        <f t="shared" si="8"/>
        <v>164.91799999999992</v>
      </c>
      <c r="AT25" s="44">
        <f t="shared" si="9"/>
        <v>0.89414610915325232</v>
      </c>
    </row>
    <row r="26" spans="1:46" x14ac:dyDescent="0.25">
      <c r="A26" s="27">
        <v>9</v>
      </c>
      <c r="B26" s="27">
        <v>1</v>
      </c>
      <c r="C26" s="27" t="s">
        <v>367</v>
      </c>
      <c r="D26" s="27" t="s">
        <v>27</v>
      </c>
      <c r="E26" s="27" t="s">
        <v>273</v>
      </c>
      <c r="F26" s="27" t="s">
        <v>306</v>
      </c>
      <c r="G26" s="27"/>
      <c r="H26" s="27" t="s">
        <v>352</v>
      </c>
      <c r="I26" s="27">
        <v>14</v>
      </c>
      <c r="J26" s="27" t="s">
        <v>10</v>
      </c>
      <c r="K26" s="27" t="s">
        <v>370</v>
      </c>
      <c r="L26" s="27" t="s">
        <v>543</v>
      </c>
      <c r="M26" s="1" t="e" vm="18">
        <v>#VALUE!</v>
      </c>
      <c r="N26" s="56">
        <v>0.26</v>
      </c>
      <c r="O26" s="18">
        <v>45128</v>
      </c>
      <c r="P26" s="18" t="s">
        <v>354</v>
      </c>
      <c r="Q26" s="18" t="s">
        <v>417</v>
      </c>
      <c r="R26" s="19">
        <v>69.25</v>
      </c>
      <c r="S26" s="4">
        <v>0</v>
      </c>
      <c r="T26" s="19">
        <v>0</v>
      </c>
      <c r="U26" s="29">
        <v>1</v>
      </c>
      <c r="V26" s="20">
        <v>2.95</v>
      </c>
      <c r="W26" s="20">
        <f t="shared" si="0"/>
        <v>972.45</v>
      </c>
      <c r="X26" s="21" t="s">
        <v>354</v>
      </c>
      <c r="Y26" s="17" t="s">
        <v>417</v>
      </c>
      <c r="Z26" s="72" cm="1">
        <f t="array" aca="1" ref="Z26" ca="1">_FV(M26,"Price",TRUE)</f>
        <v>101.64</v>
      </c>
      <c r="AA26" s="32">
        <f>SUMIF(Operazioni!A:A,A26,Operazioni!C:C)</f>
        <v>0</v>
      </c>
      <c r="AB26" s="35">
        <f>INDEX(Valute!B:B,MATCH(J26,Valute!A:A,0))</f>
        <v>1.0000000018919131</v>
      </c>
      <c r="AC26" s="21">
        <f>SUMIF(Operazioni!A:A,A26,Operazioni!K:K)</f>
        <v>0</v>
      </c>
      <c r="AD26" s="21">
        <f t="shared" ca="1" si="1"/>
        <v>1422.9600026921166</v>
      </c>
      <c r="AE26" s="38">
        <f t="shared" ca="1" si="2"/>
        <v>450.51000269211659</v>
      </c>
      <c r="AF26" s="76">
        <f t="shared" ca="1" si="3"/>
        <v>0.46327317876715157</v>
      </c>
      <c r="AG26" s="22"/>
      <c r="AH26" s="23"/>
      <c r="AI26" s="23"/>
      <c r="AJ26" s="23"/>
      <c r="AK26" s="24"/>
      <c r="AL26" s="23"/>
      <c r="AM26" s="41"/>
      <c r="AN26" s="25"/>
      <c r="AO26" s="25">
        <f t="shared" si="4"/>
        <v>0</v>
      </c>
      <c r="AP26" s="25">
        <f t="shared" si="5"/>
        <v>0</v>
      </c>
      <c r="AQ26" s="25">
        <f t="shared" si="6"/>
        <v>-972.45</v>
      </c>
      <c r="AR26" s="44">
        <f t="shared" si="7"/>
        <v>-1</v>
      </c>
      <c r="AS26" s="25">
        <f t="shared" si="8"/>
        <v>-252.83700000000002</v>
      </c>
      <c r="AT26" s="44">
        <f t="shared" si="9"/>
        <v>-0.74</v>
      </c>
    </row>
    <row r="27" spans="1:46" x14ac:dyDescent="0.25">
      <c r="A27" s="27">
        <v>24</v>
      </c>
      <c r="B27" s="27">
        <v>1</v>
      </c>
      <c r="C27" s="27" t="s">
        <v>407</v>
      </c>
      <c r="D27" s="27" t="s">
        <v>27</v>
      </c>
      <c r="E27" s="27" t="s">
        <v>273</v>
      </c>
      <c r="F27" s="27" t="s">
        <v>351</v>
      </c>
      <c r="G27" s="27"/>
      <c r="H27" s="27" t="s">
        <v>304</v>
      </c>
      <c r="I27" s="1">
        <v>10</v>
      </c>
      <c r="J27" s="27" t="s">
        <v>10</v>
      </c>
      <c r="K27" s="27" t="s">
        <v>408</v>
      </c>
      <c r="L27" s="27" t="s">
        <v>541</v>
      </c>
      <c r="M27" s="1" t="e" vm="19">
        <v>#VALUE!</v>
      </c>
      <c r="N27" s="56">
        <v>0.26</v>
      </c>
      <c r="O27" s="18">
        <v>45161</v>
      </c>
      <c r="P27" s="19" t="s">
        <v>354</v>
      </c>
      <c r="Q27" s="18" t="s">
        <v>417</v>
      </c>
      <c r="R27" s="2">
        <v>100.5</v>
      </c>
      <c r="S27" s="4">
        <v>0</v>
      </c>
      <c r="T27" s="2">
        <v>0</v>
      </c>
      <c r="U27" s="30">
        <v>1</v>
      </c>
      <c r="V27" s="3">
        <v>2.95</v>
      </c>
      <c r="W27" s="20">
        <f t="shared" si="0"/>
        <v>1007.95</v>
      </c>
      <c r="X27" s="21" t="s">
        <v>354</v>
      </c>
      <c r="Y27" s="17" t="s">
        <v>417</v>
      </c>
      <c r="Z27" s="72" cm="1">
        <f t="array" aca="1" ref="Z27" ca="1">_FV(M27,"Price",TRUE)</f>
        <v>162.56</v>
      </c>
      <c r="AA27" s="32">
        <f>SUMIF(Operazioni!A:A,A27,Operazioni!C:C)</f>
        <v>0</v>
      </c>
      <c r="AB27" s="35">
        <f>INDEX(Valute!B:B,MATCH(J27,Valute!A:A,0))</f>
        <v>1.0000000018919131</v>
      </c>
      <c r="AC27" s="21">
        <f>SUMIF(Operazioni!A:A,A27,Operazioni!K:K)</f>
        <v>0</v>
      </c>
      <c r="AD27" s="21">
        <f t="shared" ca="1" si="1"/>
        <v>1625.6000030754938</v>
      </c>
      <c r="AE27" s="38">
        <f t="shared" ca="1" si="2"/>
        <v>617.65000307549371</v>
      </c>
      <c r="AF27" s="76">
        <f t="shared" ca="1" si="3"/>
        <v>0.61277841467879723</v>
      </c>
      <c r="AO27" s="25">
        <f t="shared" si="4"/>
        <v>0</v>
      </c>
      <c r="AP27" s="25">
        <f t="shared" si="5"/>
        <v>0</v>
      </c>
      <c r="AQ27" s="25">
        <f t="shared" si="6"/>
        <v>-1007.95</v>
      </c>
      <c r="AR27" s="44">
        <f t="shared" si="7"/>
        <v>-1</v>
      </c>
      <c r="AS27" s="25">
        <f t="shared" si="8"/>
        <v>-262.06700000000001</v>
      </c>
      <c r="AT27" s="44">
        <f t="shared" si="9"/>
        <v>-0.74</v>
      </c>
    </row>
    <row r="28" spans="1:46" x14ac:dyDescent="0.25">
      <c r="A28" s="27">
        <v>27</v>
      </c>
      <c r="B28" s="27">
        <v>1</v>
      </c>
      <c r="C28" s="27" t="s">
        <v>407</v>
      </c>
      <c r="D28" s="27" t="s">
        <v>27</v>
      </c>
      <c r="E28" s="27" t="s">
        <v>273</v>
      </c>
      <c r="F28" s="27" t="s">
        <v>351</v>
      </c>
      <c r="G28" s="27"/>
      <c r="H28" s="27" t="s">
        <v>304</v>
      </c>
      <c r="I28" s="1">
        <v>60</v>
      </c>
      <c r="J28" s="27" t="s">
        <v>10</v>
      </c>
      <c r="K28" s="27" t="s">
        <v>408</v>
      </c>
      <c r="L28" s="27" t="s">
        <v>541</v>
      </c>
      <c r="M28" s="1" t="e" vm="19">
        <v>#VALUE!</v>
      </c>
      <c r="N28" s="56">
        <v>0.26</v>
      </c>
      <c r="O28" s="18">
        <v>45162</v>
      </c>
      <c r="P28" s="19" t="s">
        <v>354</v>
      </c>
      <c r="Q28" s="18" t="s">
        <v>417</v>
      </c>
      <c r="R28" s="2">
        <v>101.3</v>
      </c>
      <c r="S28" s="4">
        <v>1.9E-3</v>
      </c>
      <c r="T28" s="2">
        <v>0</v>
      </c>
      <c r="U28" s="30">
        <v>1</v>
      </c>
      <c r="V28" s="3">
        <v>2.95</v>
      </c>
      <c r="W28" s="20">
        <f t="shared" si="0"/>
        <v>6092.4982</v>
      </c>
      <c r="X28" s="21" t="s">
        <v>354</v>
      </c>
      <c r="Y28" s="17" t="s">
        <v>417</v>
      </c>
      <c r="Z28" s="72" cm="1">
        <f t="array" aca="1" ref="Z28" ca="1">_FV(M28,"Price")</f>
        <v>162.56</v>
      </c>
      <c r="AA28" s="32">
        <f>SUMIF(Operazioni!A:A,A28,Operazioni!C:C)</f>
        <v>0</v>
      </c>
      <c r="AB28" s="35">
        <f>INDEX(Valute!B:B,MATCH(J28,Valute!A:A,0))</f>
        <v>1.0000000018919131</v>
      </c>
      <c r="AC28" s="21">
        <f>SUMIF(Operazioni!A:A,A28,Operazioni!K:K)</f>
        <v>0</v>
      </c>
      <c r="AD28" s="21">
        <f t="shared" ca="1" si="1"/>
        <v>9753.6000184529639</v>
      </c>
      <c r="AE28" s="38">
        <f t="shared" ca="1" si="2"/>
        <v>3661.1018184529639</v>
      </c>
      <c r="AF28" s="76">
        <f t="shared" ca="1" si="3"/>
        <v>0.60091963891806544</v>
      </c>
      <c r="AO28" s="25">
        <f t="shared" si="4"/>
        <v>0</v>
      </c>
      <c r="AP28" s="25">
        <f t="shared" si="5"/>
        <v>0</v>
      </c>
      <c r="AQ28" s="25">
        <f t="shared" si="6"/>
        <v>-6092.4982</v>
      </c>
      <c r="AR28" s="44">
        <f t="shared" si="7"/>
        <v>-1</v>
      </c>
      <c r="AS28" s="25">
        <f t="shared" si="8"/>
        <v>-1584.049532</v>
      </c>
      <c r="AT28" s="44">
        <f t="shared" si="9"/>
        <v>-0.74</v>
      </c>
    </row>
    <row r="29" spans="1:46" x14ac:dyDescent="0.25">
      <c r="A29" s="27">
        <v>28</v>
      </c>
      <c r="B29" s="27">
        <v>1</v>
      </c>
      <c r="C29" s="27" t="s">
        <v>407</v>
      </c>
      <c r="D29" s="27" t="s">
        <v>27</v>
      </c>
      <c r="E29" s="27" t="s">
        <v>273</v>
      </c>
      <c r="F29" s="27" t="s">
        <v>351</v>
      </c>
      <c r="G29" s="27"/>
      <c r="H29" s="27" t="s">
        <v>304</v>
      </c>
      <c r="I29" s="1">
        <v>30</v>
      </c>
      <c r="J29" s="27" t="s">
        <v>10</v>
      </c>
      <c r="K29" s="27" t="s">
        <v>408</v>
      </c>
      <c r="L29" s="27" t="s">
        <v>541</v>
      </c>
      <c r="M29" s="1" t="e" vm="19">
        <v>#VALUE!</v>
      </c>
      <c r="N29" s="56">
        <v>0.26</v>
      </c>
      <c r="O29" s="18">
        <v>45163</v>
      </c>
      <c r="P29" s="19" t="s">
        <v>354</v>
      </c>
      <c r="Q29" s="18" t="s">
        <v>417</v>
      </c>
      <c r="R29" s="2">
        <v>100.5</v>
      </c>
      <c r="S29" s="4">
        <v>1.9E-3</v>
      </c>
      <c r="T29" s="2">
        <v>0</v>
      </c>
      <c r="U29" s="30">
        <v>1</v>
      </c>
      <c r="V29" s="3">
        <v>2.95</v>
      </c>
      <c r="W29" s="20">
        <f t="shared" si="0"/>
        <v>3023.6785</v>
      </c>
      <c r="X29" s="21" t="s">
        <v>354</v>
      </c>
      <c r="Y29" s="17" t="s">
        <v>417</v>
      </c>
      <c r="Z29" s="72" cm="1">
        <f t="array" aca="1" ref="Z29" ca="1">_FV(M29,"Price")</f>
        <v>162.56</v>
      </c>
      <c r="AA29" s="32">
        <f>SUMIF(Operazioni!A:A,A29,Operazioni!C:C)</f>
        <v>0</v>
      </c>
      <c r="AB29" s="35">
        <f>INDEX(Valute!B:B,MATCH(J29,Valute!A:A,0))</f>
        <v>1.0000000018919131</v>
      </c>
      <c r="AC29" s="21">
        <f>SUMIF(Operazioni!A:A,A29,Operazioni!K:K)</f>
        <v>0</v>
      </c>
      <c r="AD29" s="21">
        <f t="shared" ca="1" si="1"/>
        <v>4876.800009226482</v>
      </c>
      <c r="AE29" s="38">
        <f t="shared" ca="1" si="2"/>
        <v>1853.121509226482</v>
      </c>
      <c r="AF29" s="76">
        <f t="shared" ca="1" si="3"/>
        <v>0.61286988984658319</v>
      </c>
      <c r="AO29" s="25">
        <f t="shared" si="4"/>
        <v>0</v>
      </c>
      <c r="AP29" s="25">
        <f t="shared" si="5"/>
        <v>0</v>
      </c>
      <c r="AQ29" s="25">
        <f t="shared" si="6"/>
        <v>-3023.6785</v>
      </c>
      <c r="AR29" s="44">
        <f t="shared" si="7"/>
        <v>-1</v>
      </c>
      <c r="AS29" s="25">
        <f t="shared" si="8"/>
        <v>-786.15641000000005</v>
      </c>
      <c r="AT29" s="44">
        <f t="shared" si="9"/>
        <v>-0.74</v>
      </c>
    </row>
    <row r="30" spans="1:46" x14ac:dyDescent="0.25">
      <c r="A30" s="27">
        <v>32</v>
      </c>
      <c r="B30" s="27">
        <v>1</v>
      </c>
      <c r="C30" s="27" t="s">
        <v>407</v>
      </c>
      <c r="D30" s="27" t="s">
        <v>27</v>
      </c>
      <c r="E30" s="27" t="s">
        <v>273</v>
      </c>
      <c r="F30" s="27" t="s">
        <v>351</v>
      </c>
      <c r="G30" s="27"/>
      <c r="H30" s="27" t="s">
        <v>304</v>
      </c>
      <c r="I30" s="1">
        <v>20</v>
      </c>
      <c r="J30" s="27" t="s">
        <v>10</v>
      </c>
      <c r="K30" s="27" t="s">
        <v>408</v>
      </c>
      <c r="L30" s="27" t="s">
        <v>541</v>
      </c>
      <c r="M30" s="1" t="e" vm="19">
        <v>#VALUE!</v>
      </c>
      <c r="N30" s="56">
        <v>0.26</v>
      </c>
      <c r="O30" s="18">
        <v>45302</v>
      </c>
      <c r="P30" s="19" t="s">
        <v>354</v>
      </c>
      <c r="Q30" s="18" t="s">
        <v>339</v>
      </c>
      <c r="R30" s="2">
        <v>107.14</v>
      </c>
      <c r="S30" s="4">
        <v>0</v>
      </c>
      <c r="T30" s="2">
        <v>0</v>
      </c>
      <c r="U30" s="30">
        <v>1</v>
      </c>
      <c r="V30" s="3">
        <v>19</v>
      </c>
      <c r="W30" s="20">
        <f t="shared" si="0"/>
        <v>2161.8000000000002</v>
      </c>
      <c r="X30" s="21" t="s">
        <v>354</v>
      </c>
      <c r="Y30" s="17" t="s">
        <v>339</v>
      </c>
      <c r="Z30" s="74" cm="1">
        <f t="array" aca="1" ref="Z30" ca="1">_FV(M30,"Price",TRUE)</f>
        <v>162.56</v>
      </c>
      <c r="AA30" s="32">
        <f>SUMIF(Operazioni!A:A,A30,Operazioni!C:C)</f>
        <v>0</v>
      </c>
      <c r="AB30" s="35">
        <f>INDEX(Valute!B:B,MATCH(J30,Valute!A:A,0))</f>
        <v>1.0000000018919131</v>
      </c>
      <c r="AC30" s="21">
        <f>SUMIF(Operazioni!A:A,A30,Operazioni!K:K)</f>
        <v>0</v>
      </c>
      <c r="AD30" s="21">
        <f t="shared" ca="1" si="1"/>
        <v>3251.2000061509875</v>
      </c>
      <c r="AE30" s="38">
        <f t="shared" ca="1" si="2"/>
        <v>1089.4000061509873</v>
      </c>
      <c r="AF30" s="76">
        <f t="shared" ca="1" si="3"/>
        <v>0.50393191143999783</v>
      </c>
      <c r="AO30" s="25">
        <f t="shared" si="4"/>
        <v>0</v>
      </c>
      <c r="AP30" s="25">
        <f t="shared" si="5"/>
        <v>0</v>
      </c>
      <c r="AQ30" s="25">
        <f t="shared" si="6"/>
        <v>-2161.8000000000002</v>
      </c>
      <c r="AR30" s="44">
        <f t="shared" si="7"/>
        <v>-1</v>
      </c>
      <c r="AS30" s="25">
        <f t="shared" si="8"/>
        <v>-562.0680000000001</v>
      </c>
      <c r="AT30" s="44">
        <f t="shared" si="9"/>
        <v>-0.73999999999999988</v>
      </c>
    </row>
    <row r="31" spans="1:46" x14ac:dyDescent="0.25">
      <c r="A31" s="27">
        <v>10</v>
      </c>
      <c r="B31" s="27">
        <v>1</v>
      </c>
      <c r="C31" s="27" t="s">
        <v>371</v>
      </c>
      <c r="D31" s="27" t="s">
        <v>29</v>
      </c>
      <c r="E31" s="27" t="s">
        <v>274</v>
      </c>
      <c r="F31" s="27" t="s">
        <v>276</v>
      </c>
      <c r="G31" s="27" t="s">
        <v>372</v>
      </c>
      <c r="H31" s="27" t="s">
        <v>276</v>
      </c>
      <c r="I31" s="27">
        <v>10000</v>
      </c>
      <c r="J31" s="27" t="s">
        <v>10</v>
      </c>
      <c r="K31" s="27" t="s">
        <v>534</v>
      </c>
      <c r="M31" s="27"/>
      <c r="N31" s="56">
        <v>0.125</v>
      </c>
      <c r="O31" s="18">
        <v>45083</v>
      </c>
      <c r="P31" s="19" t="s">
        <v>374</v>
      </c>
      <c r="Q31" s="18" t="s">
        <v>417</v>
      </c>
      <c r="R31" s="19">
        <v>100</v>
      </c>
      <c r="S31" s="4">
        <v>0</v>
      </c>
      <c r="T31" s="19">
        <v>0</v>
      </c>
      <c r="U31" s="29">
        <v>1</v>
      </c>
      <c r="V31" s="20"/>
      <c r="W31" s="20">
        <f t="shared" si="0"/>
        <v>10000</v>
      </c>
      <c r="X31" s="21" t="s">
        <v>374</v>
      </c>
      <c r="Y31" s="17" t="s">
        <v>417</v>
      </c>
      <c r="Z31" s="74">
        <v>100</v>
      </c>
      <c r="AA31" s="32">
        <f>SUMIF(Operazioni!A:A,A31,Operazioni!C:C)</f>
        <v>0</v>
      </c>
      <c r="AB31" s="35">
        <f>INDEX(Valute!B:B,MATCH(J31,Valute!A:A,0))</f>
        <v>1.0000000018919131</v>
      </c>
      <c r="AC31" s="21">
        <f>SUMIF(Operazioni!A:A,A31,Operazioni!K:K)</f>
        <v>743.75</v>
      </c>
      <c r="AD31" s="21">
        <f t="shared" si="1"/>
        <v>10743.750018919131</v>
      </c>
      <c r="AE31" s="38">
        <f t="shared" si="2"/>
        <v>743.75001891913053</v>
      </c>
      <c r="AF31" s="76">
        <f t="shared" si="3"/>
        <v>7.4375001891913053E-2</v>
      </c>
      <c r="AG31" s="22"/>
      <c r="AH31" s="23"/>
      <c r="AI31" s="23"/>
      <c r="AJ31" s="23"/>
      <c r="AK31" s="24"/>
      <c r="AL31" s="23"/>
      <c r="AM31" s="41"/>
      <c r="AN31" s="25"/>
      <c r="AO31" s="25">
        <f t="shared" si="4"/>
        <v>650.78125</v>
      </c>
      <c r="AP31" s="25">
        <f t="shared" si="5"/>
        <v>743.75</v>
      </c>
      <c r="AQ31" s="25">
        <f t="shared" si="6"/>
        <v>-9256.25</v>
      </c>
      <c r="AR31" s="44">
        <f t="shared" si="7"/>
        <v>-0.92562500000000003</v>
      </c>
      <c r="AS31" s="25">
        <f t="shared" si="8"/>
        <v>-1250</v>
      </c>
      <c r="AT31" s="44">
        <f t="shared" si="9"/>
        <v>-0.80062500000000003</v>
      </c>
    </row>
    <row r="32" spans="1:46" x14ac:dyDescent="0.25">
      <c r="A32" s="27">
        <v>11</v>
      </c>
      <c r="B32" s="27">
        <v>1</v>
      </c>
      <c r="C32" s="27" t="s">
        <v>373</v>
      </c>
      <c r="D32" s="27" t="s">
        <v>29</v>
      </c>
      <c r="E32" s="27" t="s">
        <v>274</v>
      </c>
      <c r="F32" s="27" t="s">
        <v>307</v>
      </c>
      <c r="G32" s="27" t="s">
        <v>372</v>
      </c>
      <c r="H32" s="27" t="s">
        <v>307</v>
      </c>
      <c r="I32" s="27">
        <v>5000</v>
      </c>
      <c r="J32" s="27" t="s">
        <v>28</v>
      </c>
      <c r="K32" s="27" t="s">
        <v>376</v>
      </c>
      <c r="M32" s="27"/>
      <c r="N32" s="56">
        <v>0.125</v>
      </c>
      <c r="O32" s="18">
        <v>45128</v>
      </c>
      <c r="P32" s="19" t="s">
        <v>375</v>
      </c>
      <c r="Q32" s="18" t="s">
        <v>417</v>
      </c>
      <c r="R32" s="19">
        <v>103.39</v>
      </c>
      <c r="S32" s="4">
        <v>5.0000000000000001E-3</v>
      </c>
      <c r="T32" s="19">
        <v>0</v>
      </c>
      <c r="U32" s="29">
        <v>0.90169999999999995</v>
      </c>
      <c r="V32" s="20">
        <v>82.57</v>
      </c>
      <c r="W32" s="20">
        <f>(I32/IF(OR(D32="O",D32="CE"),100,1)*R32*(1+S32)+T32)*U32+V32</f>
        <v>4767.214840749999</v>
      </c>
      <c r="X32" s="21" t="s">
        <v>375</v>
      </c>
      <c r="Y32" s="17" t="s">
        <v>417</v>
      </c>
      <c r="Z32" s="74">
        <v>100</v>
      </c>
      <c r="AA32" s="32">
        <f>SUMIF(Operazioni!A:A,A32,Operazioni!C:C)</f>
        <v>0</v>
      </c>
      <c r="AB32" s="35">
        <f>INDEX(Valute!B:B,MATCH(J32,Valute!A:A,0))</f>
        <v>0.86002564999999997</v>
      </c>
      <c r="AC32" s="21">
        <f>SUMIF(Operazioni!A:A,A32,Operazioni!K:K)</f>
        <v>710.55322624999997</v>
      </c>
      <c r="AD32" s="21">
        <f t="shared" si="1"/>
        <v>5010.6814762499998</v>
      </c>
      <c r="AE32" s="38">
        <f t="shared" si="2"/>
        <v>243.46663550000085</v>
      </c>
      <c r="AF32" s="76">
        <f t="shared" si="3"/>
        <v>5.1071043289019805E-2</v>
      </c>
      <c r="AG32" s="22">
        <v>46070</v>
      </c>
      <c r="AH32" s="23" t="s">
        <v>354</v>
      </c>
      <c r="AI32" s="23" t="s">
        <v>417</v>
      </c>
      <c r="AJ32" s="23">
        <v>100</v>
      </c>
      <c r="AK32" s="24"/>
      <c r="AL32" s="23"/>
      <c r="AM32" s="41">
        <v>0.84370000000000001</v>
      </c>
      <c r="AN32" s="25"/>
      <c r="AO32" s="25">
        <f t="shared" si="4"/>
        <v>621.73407296874996</v>
      </c>
      <c r="AP32" s="25">
        <f>((I32+AA32)/IF(OR(D32="O",D32="CE"),100,1)*AJ32*(1-AK32)-AL32)*AM32-AN32+AC32</f>
        <v>4929.0532262500001</v>
      </c>
      <c r="AQ32" s="25">
        <f t="shared" si="6"/>
        <v>161.8383855000011</v>
      </c>
      <c r="AR32" s="44">
        <f t="shared" si="7"/>
        <v>3.3948204749786354E-2</v>
      </c>
      <c r="AS32" s="25">
        <f t="shared" si="8"/>
        <v>-68.589355093749859</v>
      </c>
      <c r="AT32" s="44">
        <f t="shared" si="9"/>
        <v>4.8335925334025656E-2</v>
      </c>
    </row>
    <row r="33" spans="1:46" x14ac:dyDescent="0.25">
      <c r="A33" s="27">
        <v>12</v>
      </c>
      <c r="B33" s="27">
        <v>1</v>
      </c>
      <c r="C33" s="27" t="s">
        <v>377</v>
      </c>
      <c r="D33" s="27" t="s">
        <v>29</v>
      </c>
      <c r="E33" s="27" t="s">
        <v>274</v>
      </c>
      <c r="F33" s="27" t="s">
        <v>276</v>
      </c>
      <c r="G33" s="27" t="s">
        <v>372</v>
      </c>
      <c r="H33" s="27" t="s">
        <v>276</v>
      </c>
      <c r="I33" s="27">
        <v>5000</v>
      </c>
      <c r="J33" s="27" t="s">
        <v>10</v>
      </c>
      <c r="K33" s="27" t="s">
        <v>378</v>
      </c>
      <c r="M33" s="27"/>
      <c r="N33" s="56">
        <v>0.125</v>
      </c>
      <c r="O33" s="18">
        <v>45128</v>
      </c>
      <c r="P33" s="19" t="s">
        <v>374</v>
      </c>
      <c r="Q33" s="18" t="s">
        <v>417</v>
      </c>
      <c r="R33" s="19">
        <v>100.67</v>
      </c>
      <c r="S33" s="4">
        <v>1.9E-3</v>
      </c>
      <c r="T33" s="19">
        <v>0</v>
      </c>
      <c r="U33" s="29">
        <v>1</v>
      </c>
      <c r="V33" s="20">
        <v>61.82</v>
      </c>
      <c r="W33" s="20">
        <f t="shared" si="0"/>
        <v>5104.8836499999998</v>
      </c>
      <c r="X33" s="21" t="s">
        <v>374</v>
      </c>
      <c r="Y33" s="17" t="s">
        <v>417</v>
      </c>
      <c r="Z33" s="74">
        <v>100</v>
      </c>
      <c r="AA33" s="32">
        <f>SUMIF(Operazioni!A:A,A33,Operazioni!C:C)</f>
        <v>0</v>
      </c>
      <c r="AB33" s="35">
        <f>INDEX(Valute!B:B,MATCH(J33,Valute!A:A,0))</f>
        <v>1.0000000018919131</v>
      </c>
      <c r="AC33" s="21">
        <f>SUMIF(Operazioni!A:A,A33,Operazioni!K:K)</f>
        <v>590.625</v>
      </c>
      <c r="AD33" s="21">
        <f t="shared" si="1"/>
        <v>5590.6250094595653</v>
      </c>
      <c r="AE33" s="38">
        <f t="shared" si="2"/>
        <v>485.7413594595655</v>
      </c>
      <c r="AF33" s="76">
        <f t="shared" si="3"/>
        <v>9.5152288036881222E-2</v>
      </c>
      <c r="AG33" s="22"/>
      <c r="AH33" s="23"/>
      <c r="AI33" s="23"/>
      <c r="AJ33" s="23"/>
      <c r="AK33" s="24"/>
      <c r="AL33" s="23"/>
      <c r="AM33" s="41"/>
      <c r="AN33" s="25"/>
      <c r="AO33" s="25">
        <f t="shared" si="4"/>
        <v>516.796875</v>
      </c>
      <c r="AP33" s="25">
        <f t="shared" si="5"/>
        <v>590.625</v>
      </c>
      <c r="AQ33" s="25">
        <f t="shared" si="6"/>
        <v>-4514.2586499999998</v>
      </c>
      <c r="AR33" s="44">
        <f t="shared" si="7"/>
        <v>-0.88430196641210423</v>
      </c>
      <c r="AS33" s="25">
        <f t="shared" si="8"/>
        <v>-638.11045624999997</v>
      </c>
      <c r="AT33" s="44">
        <f t="shared" si="9"/>
        <v>-0.75930196641210423</v>
      </c>
    </row>
    <row r="34" spans="1:46" x14ac:dyDescent="0.25">
      <c r="A34" s="27">
        <v>25</v>
      </c>
      <c r="B34" s="27">
        <v>1</v>
      </c>
      <c r="C34" s="27" t="s">
        <v>409</v>
      </c>
      <c r="D34" s="27" t="s">
        <v>29</v>
      </c>
      <c r="E34" s="27" t="s">
        <v>274</v>
      </c>
      <c r="F34" s="27" t="s">
        <v>276</v>
      </c>
      <c r="G34" s="27" t="s">
        <v>372</v>
      </c>
      <c r="H34" s="27" t="s">
        <v>276</v>
      </c>
      <c r="I34" s="1">
        <v>5000</v>
      </c>
      <c r="J34" s="27" t="s">
        <v>10</v>
      </c>
      <c r="K34" s="27" t="s">
        <v>410</v>
      </c>
      <c r="N34" s="56">
        <v>0.125</v>
      </c>
      <c r="O34" s="18">
        <v>45161</v>
      </c>
      <c r="P34" s="19" t="s">
        <v>374</v>
      </c>
      <c r="Q34" s="18" t="s">
        <v>417</v>
      </c>
      <c r="R34" s="2">
        <v>99.99</v>
      </c>
      <c r="S34" s="4">
        <v>1.9E-3</v>
      </c>
      <c r="T34" s="2">
        <v>0</v>
      </c>
      <c r="U34" s="30">
        <v>1</v>
      </c>
      <c r="V34" s="3">
        <v>12.39</v>
      </c>
      <c r="W34" s="20">
        <f t="shared" si="0"/>
        <v>5021.3890500000007</v>
      </c>
      <c r="X34" s="21" t="s">
        <v>374</v>
      </c>
      <c r="Y34" s="17" t="s">
        <v>417</v>
      </c>
      <c r="Z34" s="74">
        <v>100</v>
      </c>
      <c r="AA34" s="32">
        <f>SUMIF(Operazioni!A:A,A34,Operazioni!C:C)</f>
        <v>0</v>
      </c>
      <c r="AB34" s="35">
        <f>INDEX(Valute!B:B,MATCH(J34,Valute!A:A,0))</f>
        <v>1.0000000018919131</v>
      </c>
      <c r="AC34" s="21">
        <f>SUMIF(Operazioni!A:A,A34,Operazioni!K:K)</f>
        <v>342.38749999999999</v>
      </c>
      <c r="AD34" s="21">
        <f t="shared" si="1"/>
        <v>5342.3875094595651</v>
      </c>
      <c r="AE34" s="38">
        <f t="shared" si="2"/>
        <v>320.9984594595644</v>
      </c>
      <c r="AF34" s="76">
        <f t="shared" si="3"/>
        <v>6.3926227636069019E-2</v>
      </c>
      <c r="AG34" s="67">
        <v>45929</v>
      </c>
      <c r="AH34" s="5" t="s">
        <v>354</v>
      </c>
      <c r="AI34" s="5" t="s">
        <v>417</v>
      </c>
      <c r="AJ34" s="5">
        <v>100</v>
      </c>
      <c r="AM34" s="42">
        <v>1</v>
      </c>
      <c r="AO34" s="25">
        <f t="shared" si="4"/>
        <v>299.58906250000001</v>
      </c>
      <c r="AP34" s="25">
        <f t="shared" si="5"/>
        <v>5342.3874999999998</v>
      </c>
      <c r="AQ34" s="25">
        <f t="shared" si="6"/>
        <v>320.99844999999914</v>
      </c>
      <c r="AR34" s="44">
        <f t="shared" si="7"/>
        <v>6.3926225752214738E-2</v>
      </c>
      <c r="AS34" s="25">
        <f t="shared" si="8"/>
        <v>-2.6736312500001063</v>
      </c>
      <c r="AT34" s="44">
        <f t="shared" si="9"/>
        <v>6.4458674288541573E-2</v>
      </c>
    </row>
    <row r="35" spans="1:46" x14ac:dyDescent="0.25">
      <c r="A35" s="27">
        <v>26</v>
      </c>
      <c r="B35" s="27">
        <v>1</v>
      </c>
      <c r="C35" s="27" t="s">
        <v>411</v>
      </c>
      <c r="D35" s="27" t="s">
        <v>29</v>
      </c>
      <c r="E35" s="27" t="s">
        <v>274</v>
      </c>
      <c r="F35" s="27" t="s">
        <v>307</v>
      </c>
      <c r="G35" s="27" t="s">
        <v>372</v>
      </c>
      <c r="H35" s="27" t="s">
        <v>307</v>
      </c>
      <c r="I35" s="1">
        <v>5000</v>
      </c>
      <c r="J35" s="27" t="s">
        <v>28</v>
      </c>
      <c r="K35" s="27" t="s">
        <v>412</v>
      </c>
      <c r="N35" s="56">
        <v>0.125</v>
      </c>
      <c r="O35" s="18">
        <v>45161</v>
      </c>
      <c r="P35" s="19" t="s">
        <v>375</v>
      </c>
      <c r="Q35" s="18" t="s">
        <v>417</v>
      </c>
      <c r="R35" s="2">
        <v>95.17</v>
      </c>
      <c r="S35" s="4">
        <v>5.0000000000000001E-3</v>
      </c>
      <c r="T35" s="2">
        <v>0</v>
      </c>
      <c r="U35" s="30">
        <v>0.91839999999999999</v>
      </c>
      <c r="V35" s="3">
        <v>52.51</v>
      </c>
      <c r="W35" s="20">
        <f t="shared" si="0"/>
        <v>4444.5674319999998</v>
      </c>
      <c r="X35" s="21" t="s">
        <v>375</v>
      </c>
      <c r="Y35" s="17" t="s">
        <v>417</v>
      </c>
      <c r="Z35" s="74">
        <v>100</v>
      </c>
      <c r="AA35" s="32">
        <f>SUMIF(Operazioni!A:A,A35,Operazioni!C:C)</f>
        <v>0</v>
      </c>
      <c r="AB35" s="35">
        <f>INDEX(Valute!B:B,MATCH(J35,Valute!A:A,0))</f>
        <v>0.86002564999999997</v>
      </c>
      <c r="AC35" s="21">
        <f>SUMIF(Operazioni!A:A,A35,Operazioni!K:K)</f>
        <v>171.0275</v>
      </c>
      <c r="AD35" s="21">
        <f t="shared" si="1"/>
        <v>4471.1557499999999</v>
      </c>
      <c r="AE35" s="38">
        <f t="shared" si="2"/>
        <v>26.588318000000072</v>
      </c>
      <c r="AF35" s="76">
        <f t="shared" si="3"/>
        <v>5.9822060091988885E-3</v>
      </c>
      <c r="AG35" s="67">
        <v>45792</v>
      </c>
      <c r="AH35" s="5" t="s">
        <v>354</v>
      </c>
      <c r="AI35" s="5" t="s">
        <v>417</v>
      </c>
      <c r="AJ35" s="5">
        <v>100</v>
      </c>
      <c r="AM35" s="42">
        <f>1/1.1185</f>
        <v>0.89405453732677687</v>
      </c>
      <c r="AO35" s="25">
        <f t="shared" si="4"/>
        <v>149.64906250000001</v>
      </c>
      <c r="AP35" s="25">
        <f t="shared" si="5"/>
        <v>4641.3001866338846</v>
      </c>
      <c r="AQ35" s="25">
        <f t="shared" si="6"/>
        <v>196.73275463388472</v>
      </c>
      <c r="AR35" s="44">
        <f t="shared" si="7"/>
        <v>4.4263644920189103E-2</v>
      </c>
      <c r="AS35" s="25">
        <f t="shared" si="8"/>
        <v>3.2131568292355901</v>
      </c>
      <c r="AT35" s="44">
        <f t="shared" si="9"/>
        <v>4.3540704638959142E-2</v>
      </c>
    </row>
    <row r="36" spans="1:46" x14ac:dyDescent="0.25">
      <c r="A36" s="27">
        <v>29</v>
      </c>
      <c r="B36" s="27">
        <v>1</v>
      </c>
      <c r="C36" s="27" t="s">
        <v>416</v>
      </c>
      <c r="D36" s="27" t="s">
        <v>29</v>
      </c>
      <c r="E36" s="27" t="s">
        <v>274</v>
      </c>
      <c r="F36" s="27" t="s">
        <v>276</v>
      </c>
      <c r="G36" s="27" t="s">
        <v>372</v>
      </c>
      <c r="H36" s="27" t="s">
        <v>276</v>
      </c>
      <c r="I36" s="1">
        <v>5000</v>
      </c>
      <c r="J36" s="27" t="s">
        <v>10</v>
      </c>
      <c r="K36" s="27" t="s">
        <v>532</v>
      </c>
      <c r="N36" s="56">
        <v>0.125</v>
      </c>
      <c r="O36" s="18">
        <v>45201</v>
      </c>
      <c r="P36" s="19" t="s">
        <v>374</v>
      </c>
      <c r="Q36" s="18" t="s">
        <v>339</v>
      </c>
      <c r="R36" s="2">
        <v>100</v>
      </c>
      <c r="S36" s="4">
        <v>0</v>
      </c>
      <c r="T36" s="2">
        <v>0</v>
      </c>
      <c r="U36" s="30">
        <v>1</v>
      </c>
      <c r="W36" s="20">
        <f t="shared" si="0"/>
        <v>5000</v>
      </c>
      <c r="X36" s="21" t="s">
        <v>374</v>
      </c>
      <c r="Y36" s="17" t="s">
        <v>339</v>
      </c>
      <c r="Z36" s="74">
        <v>100</v>
      </c>
      <c r="AA36" s="32">
        <f>SUMIF(Operazioni!A:A,A36,Operazioni!C:C)</f>
        <v>0</v>
      </c>
      <c r="AB36" s="35">
        <f>INDEX(Valute!B:B,MATCH(J36,Valute!A:A,0))</f>
        <v>1.0000000018919131</v>
      </c>
      <c r="AC36" s="21">
        <f>SUMIF(Operazioni!A:A,A36,Operazioni!K:K)</f>
        <v>403.59375</v>
      </c>
      <c r="AD36" s="21">
        <f t="shared" si="1"/>
        <v>5403.5937594595653</v>
      </c>
      <c r="AE36" s="38">
        <f t="shared" si="2"/>
        <v>403.59375945956526</v>
      </c>
      <c r="AF36" s="76">
        <f t="shared" si="3"/>
        <v>8.0718751891913049E-2</v>
      </c>
      <c r="AO36" s="25">
        <f t="shared" si="4"/>
        <v>353.14453125</v>
      </c>
      <c r="AP36" s="25">
        <f t="shared" si="5"/>
        <v>403.59375</v>
      </c>
      <c r="AQ36" s="25">
        <f t="shared" si="6"/>
        <v>-4596.40625</v>
      </c>
      <c r="AR36" s="44">
        <f t="shared" si="7"/>
        <v>-0.91928125000000005</v>
      </c>
      <c r="AS36" s="25">
        <f t="shared" si="8"/>
        <v>-625</v>
      </c>
      <c r="AT36" s="44">
        <f t="shared" si="9"/>
        <v>-0.79428125000000005</v>
      </c>
    </row>
    <row r="37" spans="1:46" x14ac:dyDescent="0.25">
      <c r="A37" s="27">
        <v>31</v>
      </c>
      <c r="B37" s="27">
        <v>1</v>
      </c>
      <c r="C37" s="27" t="s">
        <v>418</v>
      </c>
      <c r="D37" s="27" t="s">
        <v>29</v>
      </c>
      <c r="E37" s="27" t="s">
        <v>274</v>
      </c>
      <c r="F37" s="27" t="s">
        <v>306</v>
      </c>
      <c r="G37" s="27" t="s">
        <v>372</v>
      </c>
      <c r="H37" s="27" t="s">
        <v>419</v>
      </c>
      <c r="I37" s="1">
        <v>2000</v>
      </c>
      <c r="J37" s="27" t="s">
        <v>10</v>
      </c>
      <c r="K37" s="27" t="s">
        <v>420</v>
      </c>
      <c r="N37" s="56">
        <v>0.125</v>
      </c>
      <c r="O37" s="18">
        <v>45302</v>
      </c>
      <c r="P37" s="19" t="s">
        <v>374</v>
      </c>
      <c r="Q37" s="18" t="s">
        <v>339</v>
      </c>
      <c r="R37" s="2">
        <v>94.04</v>
      </c>
      <c r="S37" s="4">
        <v>0</v>
      </c>
      <c r="T37" s="2">
        <v>0</v>
      </c>
      <c r="U37" s="30">
        <v>1</v>
      </c>
      <c r="V37" s="3">
        <v>19</v>
      </c>
      <c r="W37" s="20">
        <f t="shared" ref="W37:W68" si="12">(I37/IF(OR(D37="O",D37="CE"),100,1)*R37*(1+S37)+T37)*U37+V37</f>
        <v>1899.8000000000002</v>
      </c>
      <c r="X37" s="21" t="s">
        <v>374</v>
      </c>
      <c r="Y37" s="17" t="s">
        <v>339</v>
      </c>
      <c r="Z37" s="74">
        <v>100</v>
      </c>
      <c r="AA37" s="32">
        <f>SUMIF(Operazioni!A:A,A37,Operazioni!C:C)</f>
        <v>0</v>
      </c>
      <c r="AB37" s="35">
        <f>INDEX(Valute!B:B,MATCH(J37,Valute!A:A,0))</f>
        <v>1.0000000018919131</v>
      </c>
      <c r="AC37" s="21">
        <f>SUMIF(Operazioni!A:A,A37,Operazioni!K:K)</f>
        <v>82.25</v>
      </c>
      <c r="AD37" s="21">
        <f t="shared" ref="AD37:AD68" si="13">((I37+AA37)/IF(OR(D37="O",D37="CE"),100,1)*Z37)*AB37+AC37</f>
        <v>2082.2500037838263</v>
      </c>
      <c r="AE37" s="38">
        <f t="shared" ref="AE37:AE68" si="14">AD37-W37</f>
        <v>182.45000378382611</v>
      </c>
      <c r="AF37" s="76">
        <f t="shared" ref="AF37:AF68" si="15">IF(W37&lt;&gt;0,AE37/W37,"")</f>
        <v>9.6036426878527259E-2</v>
      </c>
      <c r="AO37" s="25">
        <f t="shared" si="4"/>
        <v>71.96875</v>
      </c>
      <c r="AP37" s="25">
        <f t="shared" ref="AP37:AP68" si="16">((I37+AA37)/IF(OR(D37="O",D37="CE"),100,1)*AJ37*(1-AK37)-AL37)*AM37-AN37+AC37</f>
        <v>82.25</v>
      </c>
      <c r="AQ37" s="25">
        <f t="shared" ref="AQ37:AQ68" si="17">AP37-W37</f>
        <v>-1817.5500000000002</v>
      </c>
      <c r="AR37" s="44">
        <f t="shared" ref="AR37:AR68" si="18">IF(W37&lt;&gt;0,AQ37/W37,"")</f>
        <v>-0.95670596904937366</v>
      </c>
      <c r="AS37" s="25">
        <f t="shared" ref="AS37:AS68" si="19">(AQ37-AC37)*N37</f>
        <v>-237.47500000000002</v>
      </c>
      <c r="AT37" s="44">
        <f t="shared" ref="AT37:AT68" si="20">IF(W37&lt;&gt;0,(AQ37-AS37)/W37,"")</f>
        <v>-0.83170596904937366</v>
      </c>
    </row>
    <row r="38" spans="1:46" x14ac:dyDescent="0.25">
      <c r="A38" s="27">
        <v>33</v>
      </c>
      <c r="B38" s="27">
        <v>1</v>
      </c>
      <c r="C38" s="27" t="s">
        <v>421</v>
      </c>
      <c r="D38" s="27" t="s">
        <v>29</v>
      </c>
      <c r="E38" s="27" t="s">
        <v>274</v>
      </c>
      <c r="F38" s="27" t="s">
        <v>276</v>
      </c>
      <c r="G38" s="27" t="s">
        <v>372</v>
      </c>
      <c r="H38" s="27" t="s">
        <v>276</v>
      </c>
      <c r="I38" s="1">
        <v>2000</v>
      </c>
      <c r="J38" s="27" t="s">
        <v>10</v>
      </c>
      <c r="K38" s="27" t="s">
        <v>533</v>
      </c>
      <c r="N38" s="56">
        <v>0.125</v>
      </c>
      <c r="O38" s="18">
        <v>45350</v>
      </c>
      <c r="P38" s="19" t="s">
        <v>374</v>
      </c>
      <c r="Q38" s="18" t="s">
        <v>339</v>
      </c>
      <c r="R38" s="2">
        <v>100</v>
      </c>
      <c r="S38" s="4">
        <v>0</v>
      </c>
      <c r="T38" s="2">
        <v>0</v>
      </c>
      <c r="U38" s="30">
        <v>1</v>
      </c>
      <c r="W38" s="20">
        <f t="shared" si="12"/>
        <v>2000</v>
      </c>
      <c r="X38" s="21" t="s">
        <v>374</v>
      </c>
      <c r="Y38" s="17" t="s">
        <v>339</v>
      </c>
      <c r="Z38" s="74">
        <v>100</v>
      </c>
      <c r="AA38" s="32">
        <f>SUMIF(Operazioni!A:A,A38,Operazioni!C:C)</f>
        <v>0</v>
      </c>
      <c r="AB38" s="35">
        <f>INDEX(Valute!B:B,MATCH(J38,Valute!A:A,0))</f>
        <v>1.0000000018919131</v>
      </c>
      <c r="AC38" s="21">
        <f>SUMIF(Operazioni!A:A,A38,Operazioni!K:K)</f>
        <v>113.75</v>
      </c>
      <c r="AD38" s="21">
        <f t="shared" si="13"/>
        <v>2113.7500037838263</v>
      </c>
      <c r="AE38" s="38">
        <f t="shared" si="14"/>
        <v>113.75000378382629</v>
      </c>
      <c r="AF38" s="76">
        <f t="shared" si="15"/>
        <v>5.6875001891913142E-2</v>
      </c>
      <c r="AO38" s="25">
        <f t="shared" si="4"/>
        <v>99.53125</v>
      </c>
      <c r="AP38" s="25">
        <f t="shared" si="16"/>
        <v>113.75</v>
      </c>
      <c r="AQ38" s="25">
        <f t="shared" si="17"/>
        <v>-1886.25</v>
      </c>
      <c r="AR38" s="44">
        <f t="shared" si="18"/>
        <v>-0.94312499999999999</v>
      </c>
      <c r="AS38" s="25">
        <f t="shared" si="19"/>
        <v>-250</v>
      </c>
      <c r="AT38" s="44">
        <f t="shared" si="20"/>
        <v>-0.81812499999999999</v>
      </c>
    </row>
    <row r="39" spans="1:46" x14ac:dyDescent="0.25">
      <c r="A39" s="27">
        <v>34</v>
      </c>
      <c r="B39" s="27">
        <v>1</v>
      </c>
      <c r="C39" s="27" t="s">
        <v>407</v>
      </c>
      <c r="D39" s="27" t="s">
        <v>27</v>
      </c>
      <c r="E39" s="27" t="s">
        <v>273</v>
      </c>
      <c r="F39" s="27" t="s">
        <v>351</v>
      </c>
      <c r="G39" s="27"/>
      <c r="H39" s="27" t="s">
        <v>304</v>
      </c>
      <c r="I39" s="1">
        <v>9</v>
      </c>
      <c r="J39" s="27" t="s">
        <v>10</v>
      </c>
      <c r="K39" s="27" t="s">
        <v>408</v>
      </c>
      <c r="L39" s="27" t="s">
        <v>541</v>
      </c>
      <c r="M39" s="1" t="e" vm="19">
        <v>#VALUE!</v>
      </c>
      <c r="N39" s="56">
        <v>0.26</v>
      </c>
      <c r="O39" s="18">
        <v>45427</v>
      </c>
      <c r="P39" s="19" t="s">
        <v>354</v>
      </c>
      <c r="Q39" s="18" t="s">
        <v>339</v>
      </c>
      <c r="R39" s="2">
        <v>118.934</v>
      </c>
      <c r="S39" s="4">
        <v>0</v>
      </c>
      <c r="T39" s="2">
        <v>0</v>
      </c>
      <c r="U39" s="30">
        <v>1</v>
      </c>
      <c r="V39" s="3">
        <v>2.95</v>
      </c>
      <c r="W39" s="20">
        <f t="shared" si="12"/>
        <v>1073.356</v>
      </c>
      <c r="X39" s="21" t="s">
        <v>354</v>
      </c>
      <c r="Y39" s="17" t="s">
        <v>339</v>
      </c>
      <c r="Z39" s="74" cm="1">
        <f t="array" aca="1" ref="Z39" ca="1">_FV(M39,"Price",TRUE)</f>
        <v>162.56</v>
      </c>
      <c r="AA39" s="32">
        <f>SUMIF(Operazioni!A:A,A39,Operazioni!C:C)</f>
        <v>0</v>
      </c>
      <c r="AB39" s="35">
        <f>INDEX(Valute!B:B,MATCH(J39,Valute!A:A,0))</f>
        <v>1.0000000018919131</v>
      </c>
      <c r="AC39" s="21">
        <f>SUMIF(Operazioni!A:A,A39,Operazioni!K:K)</f>
        <v>0</v>
      </c>
      <c r="AD39" s="21">
        <f t="shared" ca="1" si="13"/>
        <v>1463.0400027679445</v>
      </c>
      <c r="AE39" s="38">
        <f t="shared" ca="1" si="14"/>
        <v>389.68400276794455</v>
      </c>
      <c r="AF39" s="76">
        <f t="shared" ca="1" si="15"/>
        <v>0.36305196297215886</v>
      </c>
      <c r="AO39" s="25">
        <f t="shared" si="4"/>
        <v>0</v>
      </c>
      <c r="AP39" s="25">
        <f t="shared" si="16"/>
        <v>0</v>
      </c>
      <c r="AQ39" s="25">
        <f t="shared" si="17"/>
        <v>-1073.356</v>
      </c>
      <c r="AR39" s="44">
        <f t="shared" si="18"/>
        <v>-1</v>
      </c>
      <c r="AS39" s="25">
        <f t="shared" si="19"/>
        <v>-279.07256000000001</v>
      </c>
      <c r="AT39" s="44">
        <f t="shared" si="20"/>
        <v>-0.74</v>
      </c>
    </row>
    <row r="40" spans="1:46" x14ac:dyDescent="0.25">
      <c r="A40" s="27">
        <v>35</v>
      </c>
      <c r="B40" s="27">
        <v>1</v>
      </c>
      <c r="C40" s="27" t="s">
        <v>423</v>
      </c>
      <c r="D40" s="27" t="s">
        <v>27</v>
      </c>
      <c r="E40" s="27" t="s">
        <v>522</v>
      </c>
      <c r="F40" s="27" t="s">
        <v>307</v>
      </c>
      <c r="G40" s="27" t="s">
        <v>425</v>
      </c>
      <c r="H40" s="27" t="s">
        <v>305</v>
      </c>
      <c r="I40" s="1">
        <v>10</v>
      </c>
      <c r="J40" s="27" t="s">
        <v>10</v>
      </c>
      <c r="K40" s="27" t="s">
        <v>424</v>
      </c>
      <c r="L40" s="27" t="s">
        <v>542</v>
      </c>
      <c r="M40" s="1" t="e" vm="20">
        <v>#VALUE!</v>
      </c>
      <c r="N40" s="56">
        <v>0.26</v>
      </c>
      <c r="O40" s="18">
        <v>45439</v>
      </c>
      <c r="P40" s="19" t="s">
        <v>354</v>
      </c>
      <c r="Q40" s="18" t="s">
        <v>339</v>
      </c>
      <c r="R40" s="2">
        <v>208.4</v>
      </c>
      <c r="S40" s="4">
        <v>0</v>
      </c>
      <c r="T40" s="2">
        <v>0</v>
      </c>
      <c r="U40" s="30">
        <v>1</v>
      </c>
      <c r="V40" s="3">
        <v>19</v>
      </c>
      <c r="W40" s="20">
        <f t="shared" si="12"/>
        <v>2103</v>
      </c>
      <c r="X40" s="21" t="s">
        <v>354</v>
      </c>
      <c r="Y40" s="17" t="s">
        <v>339</v>
      </c>
      <c r="Z40" s="74" cm="1">
        <f t="array" aca="1" ref="Z40" ca="1">_FV(M40,"Price",TRUE)</f>
        <v>372.88</v>
      </c>
      <c r="AA40" s="32">
        <f>SUMIF(Operazioni!A:A,A40,Operazioni!C:C)</f>
        <v>0</v>
      </c>
      <c r="AB40" s="35">
        <f>INDEX(Valute!B:B,MATCH(J40,Valute!A:A,0))</f>
        <v>1.0000000018919131</v>
      </c>
      <c r="AC40" s="21">
        <f>SUMIF(Operazioni!A:A,A40,Operazioni!K:K)</f>
        <v>0</v>
      </c>
      <c r="AD40" s="21">
        <f t="shared" ca="1" si="13"/>
        <v>3728.8000070545654</v>
      </c>
      <c r="AE40" s="38">
        <f t="shared" ca="1" si="14"/>
        <v>1625.8000070545654</v>
      </c>
      <c r="AF40" s="76">
        <f t="shared" ca="1" si="15"/>
        <v>0.77308607087711145</v>
      </c>
      <c r="AK40" s="5"/>
      <c r="AO40" s="25">
        <f t="shared" si="4"/>
        <v>0</v>
      </c>
      <c r="AP40" s="25">
        <f t="shared" si="16"/>
        <v>0</v>
      </c>
      <c r="AQ40" s="25">
        <f t="shared" si="17"/>
        <v>-2103</v>
      </c>
      <c r="AR40" s="44">
        <f t="shared" si="18"/>
        <v>-1</v>
      </c>
      <c r="AS40" s="25">
        <f t="shared" si="19"/>
        <v>-546.78</v>
      </c>
      <c r="AT40" s="44">
        <f t="shared" si="20"/>
        <v>-0.74</v>
      </c>
    </row>
    <row r="41" spans="1:46" x14ac:dyDescent="0.25">
      <c r="A41" s="27">
        <v>36</v>
      </c>
      <c r="B41" s="27">
        <v>1</v>
      </c>
      <c r="C41" s="27" t="s">
        <v>407</v>
      </c>
      <c r="D41" s="27" t="s">
        <v>27</v>
      </c>
      <c r="E41" s="27" t="s">
        <v>273</v>
      </c>
      <c r="F41" s="27" t="s">
        <v>351</v>
      </c>
      <c r="G41" s="27"/>
      <c r="H41" s="27" t="s">
        <v>304</v>
      </c>
      <c r="I41" s="1">
        <v>8</v>
      </c>
      <c r="J41" s="27" t="s">
        <v>10</v>
      </c>
      <c r="K41" s="27" t="s">
        <v>408</v>
      </c>
      <c r="L41" s="27" t="s">
        <v>541</v>
      </c>
      <c r="M41" s="1" t="e" vm="19">
        <v>#VALUE!</v>
      </c>
      <c r="N41" s="56">
        <v>0.26</v>
      </c>
      <c r="O41" s="18">
        <v>45446</v>
      </c>
      <c r="P41" s="19" t="s">
        <v>354</v>
      </c>
      <c r="Q41" s="18" t="s">
        <v>339</v>
      </c>
      <c r="R41" s="2">
        <v>119.29300000000001</v>
      </c>
      <c r="S41" s="4">
        <v>0</v>
      </c>
      <c r="T41" s="2">
        <v>0</v>
      </c>
      <c r="U41" s="30">
        <v>1</v>
      </c>
      <c r="V41" s="3">
        <v>2.95</v>
      </c>
      <c r="W41" s="20">
        <f t="shared" si="12"/>
        <v>957.2940000000001</v>
      </c>
      <c r="X41" s="21" t="s">
        <v>354</v>
      </c>
      <c r="Y41" s="17" t="s">
        <v>339</v>
      </c>
      <c r="Z41" s="74" cm="1">
        <f t="array" aca="1" ref="Z41" ca="1">_FV(M41,"Price",TRUE)</f>
        <v>162.56</v>
      </c>
      <c r="AA41" s="32">
        <f>SUMIF(Operazioni!A:A,A41,Operazioni!C:C)</f>
        <v>0</v>
      </c>
      <c r="AB41" s="35">
        <f>INDEX(Valute!B:B,MATCH(J41,Valute!A:A,0))</f>
        <v>1.0000000018919131</v>
      </c>
      <c r="AC41" s="21">
        <f>SUMIF(Operazioni!A:A,A41,Operazioni!K:K)</f>
        <v>0</v>
      </c>
      <c r="AD41" s="21">
        <f t="shared" ca="1" si="13"/>
        <v>1300.4800024603951</v>
      </c>
      <c r="AE41" s="38">
        <f t="shared" ca="1" si="14"/>
        <v>343.186002460395</v>
      </c>
      <c r="AF41" s="76">
        <f t="shared" ca="1" si="15"/>
        <v>0.35849592963122612</v>
      </c>
      <c r="AO41" s="25">
        <f t="shared" si="4"/>
        <v>0</v>
      </c>
      <c r="AP41" s="25">
        <f>((I41+AA41)/IF(OR(D41="O",D41="CE"),100,1)*AK40*(1-AK41)-AL41)*AM41-AN41+AC41</f>
        <v>0</v>
      </c>
      <c r="AQ41" s="25">
        <f t="shared" si="17"/>
        <v>-957.2940000000001</v>
      </c>
      <c r="AR41" s="44">
        <f t="shared" si="18"/>
        <v>-1</v>
      </c>
      <c r="AS41" s="25">
        <f t="shared" si="19"/>
        <v>-248.89644000000004</v>
      </c>
      <c r="AT41" s="44">
        <f t="shared" si="20"/>
        <v>-0.74</v>
      </c>
    </row>
    <row r="42" spans="1:46" x14ac:dyDescent="0.25">
      <c r="A42" s="27">
        <v>37</v>
      </c>
      <c r="B42" s="27">
        <v>1</v>
      </c>
      <c r="C42" s="27" t="s">
        <v>426</v>
      </c>
      <c r="D42" s="27" t="s">
        <v>29</v>
      </c>
      <c r="E42" s="27" t="s">
        <v>274</v>
      </c>
      <c r="F42" s="27" t="s">
        <v>276</v>
      </c>
      <c r="G42" s="27" t="s">
        <v>372</v>
      </c>
      <c r="H42" s="27" t="s">
        <v>276</v>
      </c>
      <c r="I42" s="1">
        <v>2000</v>
      </c>
      <c r="J42" s="27" t="s">
        <v>10</v>
      </c>
      <c r="K42" s="27" t="s">
        <v>427</v>
      </c>
      <c r="N42" s="56">
        <v>0.125</v>
      </c>
      <c r="O42" s="18">
        <v>45470</v>
      </c>
      <c r="P42" s="19" t="s">
        <v>374</v>
      </c>
      <c r="Q42" s="18" t="s">
        <v>339</v>
      </c>
      <c r="R42" s="2">
        <v>99.57</v>
      </c>
      <c r="S42" s="4">
        <v>0</v>
      </c>
      <c r="T42" s="2">
        <v>0</v>
      </c>
      <c r="U42" s="30">
        <v>1</v>
      </c>
      <c r="V42" s="3">
        <v>19</v>
      </c>
      <c r="W42" s="20">
        <f t="shared" si="12"/>
        <v>2010.3999999999999</v>
      </c>
      <c r="X42" s="21" t="s">
        <v>374</v>
      </c>
      <c r="Y42" s="17" t="s">
        <v>339</v>
      </c>
      <c r="Z42" s="74">
        <v>100</v>
      </c>
      <c r="AA42" s="32">
        <f>SUMIF(Operazioni!A:A,A42,Operazioni!C:C)</f>
        <v>0</v>
      </c>
      <c r="AB42" s="35">
        <f>INDEX(Valute!B:B,MATCH(J42,Valute!A:A,0))</f>
        <v>1.0000000018919131</v>
      </c>
      <c r="AC42" s="21">
        <f>SUMIF(Operazioni!A:A,A42,Operazioni!K:K)</f>
        <v>107.38875</v>
      </c>
      <c r="AD42" s="21">
        <f t="shared" si="13"/>
        <v>2107.3887537838259</v>
      </c>
      <c r="AE42" s="38">
        <f t="shared" si="14"/>
        <v>96.988753783826041</v>
      </c>
      <c r="AF42" s="76">
        <f t="shared" si="15"/>
        <v>4.8243510636602691E-2</v>
      </c>
      <c r="AG42" s="67">
        <v>46050</v>
      </c>
      <c r="AH42" s="5" t="s">
        <v>354</v>
      </c>
      <c r="AI42" s="5" t="s">
        <v>339</v>
      </c>
      <c r="AJ42" s="5">
        <v>99.958500000000001</v>
      </c>
      <c r="AM42" s="42">
        <v>1</v>
      </c>
      <c r="AO42" s="25">
        <f t="shared" si="4"/>
        <v>93.965156250000007</v>
      </c>
      <c r="AP42" s="25">
        <f t="shared" si="16"/>
        <v>2106.5587500000001</v>
      </c>
      <c r="AQ42" s="25">
        <f t="shared" si="17"/>
        <v>96.158750000000282</v>
      </c>
      <c r="AR42" s="44">
        <f t="shared" si="18"/>
        <v>4.7830655590927321E-2</v>
      </c>
      <c r="AS42" s="25">
        <f t="shared" si="19"/>
        <v>-1.403749999999965</v>
      </c>
      <c r="AT42" s="44">
        <f t="shared" si="20"/>
        <v>4.8528899721448589E-2</v>
      </c>
    </row>
    <row r="43" spans="1:46" x14ac:dyDescent="0.25">
      <c r="A43" s="27">
        <v>38</v>
      </c>
      <c r="B43" s="27">
        <v>1</v>
      </c>
      <c r="C43" s="27" t="s">
        <v>407</v>
      </c>
      <c r="D43" s="27" t="s">
        <v>27</v>
      </c>
      <c r="E43" s="27" t="s">
        <v>273</v>
      </c>
      <c r="F43" s="27" t="s">
        <v>351</v>
      </c>
      <c r="G43" s="27"/>
      <c r="H43" s="27" t="s">
        <v>304</v>
      </c>
      <c r="I43" s="1">
        <v>8</v>
      </c>
      <c r="J43" s="27" t="s">
        <v>10</v>
      </c>
      <c r="K43" s="27" t="s">
        <v>408</v>
      </c>
      <c r="L43" s="27" t="s">
        <v>541</v>
      </c>
      <c r="M43" s="1" t="e" vm="19">
        <v>#VALUE!</v>
      </c>
      <c r="N43" s="56">
        <v>0.26</v>
      </c>
      <c r="O43" s="18">
        <v>45474</v>
      </c>
      <c r="P43" s="19" t="s">
        <v>354</v>
      </c>
      <c r="Q43" s="18" t="s">
        <v>339</v>
      </c>
      <c r="R43" s="2">
        <v>122.48699999999999</v>
      </c>
      <c r="S43" s="4">
        <v>0</v>
      </c>
      <c r="T43" s="2">
        <v>0</v>
      </c>
      <c r="U43" s="30">
        <v>1</v>
      </c>
      <c r="V43" s="3">
        <v>2.95</v>
      </c>
      <c r="W43" s="20">
        <f t="shared" si="12"/>
        <v>982.846</v>
      </c>
      <c r="X43" s="21" t="s">
        <v>354</v>
      </c>
      <c r="Y43" s="17" t="s">
        <v>339</v>
      </c>
      <c r="Z43" s="83" cm="1">
        <f t="array" aca="1" ref="Z43" ca="1">_FV(M43,"Price")</f>
        <v>162.56</v>
      </c>
      <c r="AA43" s="32">
        <f>SUMIF(Operazioni!A:A,A43,Operazioni!C:C)</f>
        <v>0</v>
      </c>
      <c r="AB43" s="35">
        <f>INDEX(Valute!B:B,MATCH(J43,Valute!A:A,0))</f>
        <v>1.0000000018919131</v>
      </c>
      <c r="AC43" s="21">
        <f>SUMIF(Operazioni!A:A,A43,Operazioni!K:K)</f>
        <v>0</v>
      </c>
      <c r="AD43" s="21">
        <f t="shared" ca="1" si="13"/>
        <v>1300.4800024603951</v>
      </c>
      <c r="AE43" s="38">
        <f t="shared" ca="1" si="14"/>
        <v>317.6340024603951</v>
      </c>
      <c r="AF43" s="76">
        <f t="shared" ca="1" si="15"/>
        <v>0.32317779434458205</v>
      </c>
      <c r="AO43" s="25">
        <f t="shared" si="4"/>
        <v>0</v>
      </c>
      <c r="AP43" s="25">
        <f t="shared" si="16"/>
        <v>0</v>
      </c>
      <c r="AQ43" s="25">
        <f t="shared" si="17"/>
        <v>-982.846</v>
      </c>
      <c r="AR43" s="44">
        <f t="shared" si="18"/>
        <v>-1</v>
      </c>
      <c r="AS43" s="25">
        <f t="shared" si="19"/>
        <v>-255.53996000000001</v>
      </c>
      <c r="AT43" s="44">
        <f t="shared" si="20"/>
        <v>-0.73999999999999988</v>
      </c>
    </row>
    <row r="44" spans="1:46" x14ac:dyDescent="0.25">
      <c r="A44" s="27">
        <v>39</v>
      </c>
      <c r="B44" s="27">
        <v>1</v>
      </c>
      <c r="C44" s="27" t="s">
        <v>428</v>
      </c>
      <c r="D44" s="27" t="s">
        <v>27</v>
      </c>
      <c r="E44" s="27" t="s">
        <v>274</v>
      </c>
      <c r="F44" s="27" t="s">
        <v>306</v>
      </c>
      <c r="G44" s="27" t="s">
        <v>372</v>
      </c>
      <c r="H44" s="27" t="s">
        <v>365</v>
      </c>
      <c r="I44" s="1">
        <v>7</v>
      </c>
      <c r="J44" s="27" t="s">
        <v>10</v>
      </c>
      <c r="K44" s="27" t="s">
        <v>429</v>
      </c>
      <c r="L44" s="27" t="s">
        <v>540</v>
      </c>
      <c r="M44" s="1" t="e" vm="21">
        <v>#VALUE!</v>
      </c>
      <c r="N44" s="56">
        <v>0.125</v>
      </c>
      <c r="O44" s="18">
        <v>45477</v>
      </c>
      <c r="P44" s="19" t="s">
        <v>354</v>
      </c>
      <c r="Q44" s="18" t="s">
        <v>339</v>
      </c>
      <c r="R44" s="2">
        <v>142.38069999999999</v>
      </c>
      <c r="S44" s="4">
        <v>0</v>
      </c>
      <c r="T44" s="2">
        <v>0</v>
      </c>
      <c r="U44" s="30">
        <v>1</v>
      </c>
      <c r="W44" s="20">
        <f t="shared" si="12"/>
        <v>996.66489999999999</v>
      </c>
      <c r="X44" s="21" t="s">
        <v>354</v>
      </c>
      <c r="Y44" s="17" t="s">
        <v>339</v>
      </c>
      <c r="Z44" s="83" cm="1">
        <f t="array" aca="1" ref="Z44" ca="1">_FV(M44,"Price")</f>
        <v>149.2184</v>
      </c>
      <c r="AA44" s="32">
        <f>SUMIF(Operazioni!A:A,A44,Operazioni!C:C)</f>
        <v>0</v>
      </c>
      <c r="AB44" s="35">
        <f>INDEX(Valute!B:B,MATCH(J44,Valute!A:A,0))</f>
        <v>1.0000000018919131</v>
      </c>
      <c r="AC44" s="21">
        <f>SUMIF(Operazioni!A:A,A44,Operazioni!K:K)</f>
        <v>0</v>
      </c>
      <c r="AD44" s="21">
        <f t="shared" ca="1" si="13"/>
        <v>1044.5288019761576</v>
      </c>
      <c r="AE44" s="38">
        <f t="shared" ca="1" si="14"/>
        <v>47.863901976157649</v>
      </c>
      <c r="AF44" s="76">
        <f t="shared" ca="1" si="15"/>
        <v>4.8024067042149926E-2</v>
      </c>
      <c r="AO44" s="25">
        <f t="shared" si="4"/>
        <v>0</v>
      </c>
      <c r="AP44" s="25">
        <f t="shared" si="16"/>
        <v>0</v>
      </c>
      <c r="AQ44" s="25">
        <f t="shared" si="17"/>
        <v>-996.66489999999999</v>
      </c>
      <c r="AR44" s="44">
        <f t="shared" si="18"/>
        <v>-1</v>
      </c>
      <c r="AS44" s="25">
        <f t="shared" si="19"/>
        <v>-124.5831125</v>
      </c>
      <c r="AT44" s="44">
        <f t="shared" si="20"/>
        <v>-0.875</v>
      </c>
    </row>
    <row r="45" spans="1:46" x14ac:dyDescent="0.25">
      <c r="A45" s="27">
        <v>40</v>
      </c>
      <c r="B45" s="27">
        <v>1</v>
      </c>
      <c r="C45" s="27" t="s">
        <v>428</v>
      </c>
      <c r="D45" s="27" t="s">
        <v>27</v>
      </c>
      <c r="E45" s="27" t="s">
        <v>274</v>
      </c>
      <c r="F45" s="27" t="s">
        <v>306</v>
      </c>
      <c r="G45" s="27" t="s">
        <v>372</v>
      </c>
      <c r="H45" s="27" t="s">
        <v>365</v>
      </c>
      <c r="I45" s="1">
        <v>7</v>
      </c>
      <c r="J45" s="27" t="s">
        <v>10</v>
      </c>
      <c r="K45" s="27" t="s">
        <v>429</v>
      </c>
      <c r="L45" s="27" t="s">
        <v>540</v>
      </c>
      <c r="M45" s="1" t="e" vm="21">
        <v>#VALUE!</v>
      </c>
      <c r="N45" s="56">
        <v>0.125</v>
      </c>
      <c r="O45" s="18">
        <v>45499</v>
      </c>
      <c r="P45" s="19" t="s">
        <v>354</v>
      </c>
      <c r="Q45" s="18" t="s">
        <v>339</v>
      </c>
      <c r="R45" s="2">
        <v>142.71449999999999</v>
      </c>
      <c r="S45" s="4">
        <v>0</v>
      </c>
      <c r="T45" s="2">
        <v>0</v>
      </c>
      <c r="U45" s="30">
        <v>1</v>
      </c>
      <c r="W45" s="20">
        <f t="shared" si="12"/>
        <v>999.00149999999985</v>
      </c>
      <c r="X45" s="21" t="s">
        <v>354</v>
      </c>
      <c r="Y45" s="17" t="s">
        <v>339</v>
      </c>
      <c r="Z45" s="83" cm="1">
        <f t="array" aca="1" ref="Z45" ca="1">_FV(M45,"Price")</f>
        <v>149.2184</v>
      </c>
      <c r="AA45" s="32">
        <f>SUMIF(Operazioni!A:A,A45,Operazioni!C:C)</f>
        <v>0</v>
      </c>
      <c r="AB45" s="35">
        <f>INDEX(Valute!B:B,MATCH(J45,Valute!A:A,0))</f>
        <v>1.0000000018919131</v>
      </c>
      <c r="AC45" s="21">
        <f>SUMIF(Operazioni!A:A,A45,Operazioni!K:K)</f>
        <v>0</v>
      </c>
      <c r="AD45" s="21">
        <f t="shared" ca="1" si="13"/>
        <v>1044.5288019761576</v>
      </c>
      <c r="AE45" s="38">
        <f t="shared" ca="1" si="14"/>
        <v>45.527301976157787</v>
      </c>
      <c r="AF45" s="76">
        <f t="shared" ca="1" si="15"/>
        <v>4.5572806423371533E-2</v>
      </c>
      <c r="AO45" s="25">
        <f t="shared" si="4"/>
        <v>0</v>
      </c>
      <c r="AP45" s="25">
        <f t="shared" si="16"/>
        <v>0</v>
      </c>
      <c r="AQ45" s="25">
        <f t="shared" si="17"/>
        <v>-999.00149999999985</v>
      </c>
      <c r="AR45" s="44">
        <f t="shared" si="18"/>
        <v>-1</v>
      </c>
      <c r="AS45" s="25">
        <f t="shared" si="19"/>
        <v>-124.87518749999998</v>
      </c>
      <c r="AT45" s="44">
        <f t="shared" si="20"/>
        <v>-0.87499999999999989</v>
      </c>
    </row>
    <row r="46" spans="1:46" x14ac:dyDescent="0.25">
      <c r="A46" s="27">
        <v>41</v>
      </c>
      <c r="B46" s="27">
        <v>1</v>
      </c>
      <c r="C46" s="27" t="s">
        <v>407</v>
      </c>
      <c r="D46" s="27" t="s">
        <v>27</v>
      </c>
      <c r="E46" s="27" t="s">
        <v>273</v>
      </c>
      <c r="F46" s="27" t="s">
        <v>351</v>
      </c>
      <c r="G46" s="27"/>
      <c r="H46" s="27" t="s">
        <v>304</v>
      </c>
      <c r="I46" s="1">
        <v>9</v>
      </c>
      <c r="J46" s="27" t="s">
        <v>10</v>
      </c>
      <c r="K46" s="27" t="s">
        <v>408</v>
      </c>
      <c r="L46" s="27" t="s">
        <v>541</v>
      </c>
      <c r="M46" s="1" t="e" vm="19">
        <v>#VALUE!</v>
      </c>
      <c r="N46" s="56">
        <v>0.26</v>
      </c>
      <c r="O46" s="18">
        <v>45505</v>
      </c>
      <c r="P46" s="19" t="s">
        <v>354</v>
      </c>
      <c r="Q46" s="18" t="s">
        <v>339</v>
      </c>
      <c r="R46" s="2">
        <v>123.541</v>
      </c>
      <c r="S46" s="4">
        <v>0</v>
      </c>
      <c r="T46" s="2">
        <v>0</v>
      </c>
      <c r="U46" s="30">
        <v>1</v>
      </c>
      <c r="V46" s="3">
        <v>2.95</v>
      </c>
      <c r="W46" s="20">
        <f t="shared" si="12"/>
        <v>1114.819</v>
      </c>
      <c r="X46" s="21" t="s">
        <v>354</v>
      </c>
      <c r="Y46" s="17" t="s">
        <v>339</v>
      </c>
      <c r="Z46" s="83" cm="1">
        <f t="array" aca="1" ref="Z46" ca="1">_FV(M46,"Price")</f>
        <v>162.56</v>
      </c>
      <c r="AA46" s="32">
        <f>SUMIF(Operazioni!A:A,A46,Operazioni!C:C)</f>
        <v>0</v>
      </c>
      <c r="AB46" s="35">
        <f>INDEX(Valute!B:B,MATCH(J46,Valute!A:A,0))</f>
        <v>1.0000000018919131</v>
      </c>
      <c r="AC46" s="21">
        <f>SUMIF(Operazioni!A:A,A46,Operazioni!K:K)</f>
        <v>0</v>
      </c>
      <c r="AD46" s="21">
        <f t="shared" ca="1" si="13"/>
        <v>1463.0400027679445</v>
      </c>
      <c r="AE46" s="38">
        <f t="shared" ca="1" si="14"/>
        <v>348.22100276794458</v>
      </c>
      <c r="AF46" s="76">
        <f t="shared" ca="1" si="15"/>
        <v>0.31235653748989262</v>
      </c>
      <c r="AO46" s="25">
        <f t="shared" si="4"/>
        <v>0</v>
      </c>
      <c r="AP46" s="25">
        <f t="shared" si="16"/>
        <v>0</v>
      </c>
      <c r="AQ46" s="25">
        <f t="shared" si="17"/>
        <v>-1114.819</v>
      </c>
      <c r="AR46" s="44">
        <f t="shared" si="18"/>
        <v>-1</v>
      </c>
      <c r="AS46" s="25">
        <f t="shared" si="19"/>
        <v>-289.85293999999999</v>
      </c>
      <c r="AT46" s="44">
        <f t="shared" si="20"/>
        <v>-0.74</v>
      </c>
    </row>
    <row r="47" spans="1:46" x14ac:dyDescent="0.25">
      <c r="A47" s="27">
        <v>42</v>
      </c>
      <c r="B47" s="27">
        <v>1</v>
      </c>
      <c r="C47" s="27" t="s">
        <v>428</v>
      </c>
      <c r="D47" s="27" t="s">
        <v>27</v>
      </c>
      <c r="E47" s="27" t="s">
        <v>274</v>
      </c>
      <c r="F47" s="27" t="s">
        <v>306</v>
      </c>
      <c r="G47" s="27" t="s">
        <v>372</v>
      </c>
      <c r="H47" s="27" t="s">
        <v>365</v>
      </c>
      <c r="I47" s="1">
        <v>7</v>
      </c>
      <c r="J47" s="27" t="s">
        <v>10</v>
      </c>
      <c r="K47" s="27" t="s">
        <v>429</v>
      </c>
      <c r="L47" s="27" t="s">
        <v>540</v>
      </c>
      <c r="M47" s="1" t="e" vm="21">
        <v>#VALUE!</v>
      </c>
      <c r="N47" s="56">
        <v>0.125</v>
      </c>
      <c r="O47" s="18">
        <v>45499</v>
      </c>
      <c r="P47" s="19" t="s">
        <v>354</v>
      </c>
      <c r="Q47" s="18" t="s">
        <v>339</v>
      </c>
      <c r="R47" s="2">
        <v>143.16720000000001</v>
      </c>
      <c r="S47" s="4">
        <v>0</v>
      </c>
      <c r="T47" s="2">
        <v>0</v>
      </c>
      <c r="U47" s="30">
        <v>1</v>
      </c>
      <c r="W47" s="20">
        <f t="shared" si="12"/>
        <v>1002.1704000000001</v>
      </c>
      <c r="X47" s="21" t="s">
        <v>354</v>
      </c>
      <c r="Y47" s="17" t="s">
        <v>339</v>
      </c>
      <c r="Z47" s="83" cm="1">
        <f t="array" aca="1" ref="Z47" ca="1">_FV(M47,"Price")</f>
        <v>149.2184</v>
      </c>
      <c r="AA47" s="32">
        <f>SUMIF(Operazioni!A:A,A47,Operazioni!C:C)</f>
        <v>0</v>
      </c>
      <c r="AB47" s="35">
        <f>INDEX(Valute!B:B,MATCH(J47,Valute!A:A,0))</f>
        <v>1.0000000018919131</v>
      </c>
      <c r="AC47" s="21">
        <f>SUMIF(Operazioni!A:A,A47,Operazioni!K:K)</f>
        <v>0</v>
      </c>
      <c r="AD47" s="21">
        <f t="shared" ca="1" si="13"/>
        <v>1044.5288019761576</v>
      </c>
      <c r="AE47" s="38">
        <f t="shared" ca="1" si="14"/>
        <v>42.358401976157552</v>
      </c>
      <c r="AF47" s="76">
        <f t="shared" ca="1" si="15"/>
        <v>4.2266666403395617E-2</v>
      </c>
      <c r="AO47" s="25">
        <f t="shared" si="4"/>
        <v>0</v>
      </c>
      <c r="AP47" s="25">
        <f t="shared" si="16"/>
        <v>0</v>
      </c>
      <c r="AQ47" s="25">
        <f t="shared" si="17"/>
        <v>-1002.1704000000001</v>
      </c>
      <c r="AR47" s="44">
        <f t="shared" si="18"/>
        <v>-1</v>
      </c>
      <c r="AS47" s="25">
        <f t="shared" si="19"/>
        <v>-125.27130000000001</v>
      </c>
      <c r="AT47" s="44">
        <f t="shared" si="20"/>
        <v>-0.875</v>
      </c>
    </row>
    <row r="48" spans="1:46" x14ac:dyDescent="0.25">
      <c r="A48" s="27">
        <v>43</v>
      </c>
      <c r="B48" s="27">
        <v>1</v>
      </c>
      <c r="C48" s="27" t="s">
        <v>407</v>
      </c>
      <c r="D48" s="27" t="s">
        <v>27</v>
      </c>
      <c r="E48" s="27" t="s">
        <v>273</v>
      </c>
      <c r="F48" s="27" t="s">
        <v>351</v>
      </c>
      <c r="G48" s="27"/>
      <c r="H48" s="27" t="s">
        <v>304</v>
      </c>
      <c r="I48" s="1">
        <v>9</v>
      </c>
      <c r="J48" s="27" t="s">
        <v>10</v>
      </c>
      <c r="K48" s="27" t="s">
        <v>408</v>
      </c>
      <c r="L48" s="27" t="s">
        <v>541</v>
      </c>
      <c r="M48" s="1" t="e" vm="19">
        <v>#VALUE!</v>
      </c>
      <c r="N48" s="56">
        <v>0.26</v>
      </c>
      <c r="O48" s="18">
        <v>45538</v>
      </c>
      <c r="P48" s="19" t="s">
        <v>354</v>
      </c>
      <c r="Q48" s="18" t="s">
        <v>339</v>
      </c>
      <c r="R48" s="2">
        <v>123.62978</v>
      </c>
      <c r="S48" s="4">
        <v>0</v>
      </c>
      <c r="T48" s="2">
        <v>0</v>
      </c>
      <c r="U48" s="30">
        <v>1</v>
      </c>
      <c r="V48" s="3">
        <v>2.3199999999999998</v>
      </c>
      <c r="W48" s="20">
        <f t="shared" si="12"/>
        <v>1114.98802</v>
      </c>
      <c r="X48" s="21" t="s">
        <v>354</v>
      </c>
      <c r="Y48" s="17" t="s">
        <v>339</v>
      </c>
      <c r="Z48" s="83" cm="1">
        <f t="array" aca="1" ref="Z48" ca="1">_FV(M48,"Price")</f>
        <v>162.56</v>
      </c>
      <c r="AA48" s="32">
        <f>SUMIF(Operazioni!A:A,A48,Operazioni!C:C)</f>
        <v>0</v>
      </c>
      <c r="AB48" s="35">
        <f>INDEX(Valute!B:B,MATCH(J48,Valute!A:A,0))</f>
        <v>1.0000000018919131</v>
      </c>
      <c r="AC48" s="21">
        <f>SUMIF(Operazioni!A:A,A48,Operazioni!K:K)</f>
        <v>0</v>
      </c>
      <c r="AD48" s="21">
        <f t="shared" ca="1" si="13"/>
        <v>1463.0400027679445</v>
      </c>
      <c r="AE48" s="38">
        <f t="shared" ca="1" si="14"/>
        <v>348.05198276794454</v>
      </c>
      <c r="AF48" s="76">
        <f t="shared" ca="1" si="15"/>
        <v>0.31215759857935022</v>
      </c>
      <c r="AO48" s="25">
        <f t="shared" si="4"/>
        <v>0</v>
      </c>
      <c r="AP48" s="25">
        <f t="shared" si="16"/>
        <v>0</v>
      </c>
      <c r="AQ48" s="25">
        <f t="shared" si="17"/>
        <v>-1114.98802</v>
      </c>
      <c r="AR48" s="44">
        <f t="shared" si="18"/>
        <v>-1</v>
      </c>
      <c r="AS48" s="25">
        <f t="shared" si="19"/>
        <v>-289.89688519999999</v>
      </c>
      <c r="AT48" s="44">
        <f t="shared" si="20"/>
        <v>-0.74</v>
      </c>
    </row>
    <row r="49" spans="1:46" x14ac:dyDescent="0.25">
      <c r="A49" s="27">
        <v>44</v>
      </c>
      <c r="B49" s="27">
        <v>1</v>
      </c>
      <c r="C49" s="27" t="s">
        <v>430</v>
      </c>
      <c r="D49" s="27" t="s">
        <v>27</v>
      </c>
      <c r="E49" s="27" t="s">
        <v>274</v>
      </c>
      <c r="F49" s="27" t="s">
        <v>306</v>
      </c>
      <c r="G49" s="27" t="s">
        <v>394</v>
      </c>
      <c r="H49" s="27" t="s">
        <v>352</v>
      </c>
      <c r="I49" s="1">
        <v>450</v>
      </c>
      <c r="J49" s="27" t="s">
        <v>10</v>
      </c>
      <c r="K49" s="27" t="s">
        <v>431</v>
      </c>
      <c r="L49" s="27" t="s">
        <v>551</v>
      </c>
      <c r="M49" s="1" t="e" vm="22">
        <v>#VALUE!</v>
      </c>
      <c r="N49" s="56">
        <v>0.26</v>
      </c>
      <c r="O49" s="18">
        <v>45538</v>
      </c>
      <c r="P49" s="19" t="s">
        <v>521</v>
      </c>
      <c r="Q49" s="18" t="s">
        <v>339</v>
      </c>
      <c r="R49" s="2">
        <v>5.3675600000000001</v>
      </c>
      <c r="S49" s="4">
        <v>0</v>
      </c>
      <c r="T49" s="2">
        <v>0</v>
      </c>
      <c r="U49" s="30">
        <v>1</v>
      </c>
      <c r="V49" s="3">
        <v>2.3199999999999998</v>
      </c>
      <c r="W49" s="20">
        <f t="shared" si="12"/>
        <v>2417.7220000000002</v>
      </c>
      <c r="X49" s="21" t="s">
        <v>521</v>
      </c>
      <c r="Y49" s="17" t="s">
        <v>339</v>
      </c>
      <c r="Z49" s="83" cm="1">
        <f t="array" aca="1" ref="Z49" ca="1">_FV(M49,"Price")</f>
        <v>5.665</v>
      </c>
      <c r="AA49" s="32">
        <f>SUMIF(Operazioni!A:A,A49,Operazioni!C:C)</f>
        <v>0</v>
      </c>
      <c r="AB49" s="35">
        <f>INDEX(Valute!B:B,MATCH(J49,Valute!A:A,0))</f>
        <v>1.0000000018919131</v>
      </c>
      <c r="AC49" s="21">
        <f>SUMIF(Operazioni!A:A,A49,Operazioni!K:K)</f>
        <v>0</v>
      </c>
      <c r="AD49" s="21">
        <f t="shared" ca="1" si="13"/>
        <v>2549.2500048229595</v>
      </c>
      <c r="AE49" s="38">
        <f t="shared" ca="1" si="14"/>
        <v>131.52800482295925</v>
      </c>
      <c r="AF49" s="76">
        <f t="shared" ca="1" si="15"/>
        <v>5.440162467933006E-2</v>
      </c>
      <c r="AO49" s="25">
        <f t="shared" si="4"/>
        <v>0</v>
      </c>
      <c r="AP49" s="25">
        <f t="shared" si="16"/>
        <v>0</v>
      </c>
      <c r="AQ49" s="25">
        <f t="shared" si="17"/>
        <v>-2417.7220000000002</v>
      </c>
      <c r="AR49" s="44">
        <f t="shared" si="18"/>
        <v>-1</v>
      </c>
      <c r="AS49" s="25">
        <f t="shared" si="19"/>
        <v>-628.60772000000009</v>
      </c>
      <c r="AT49" s="44">
        <f t="shared" si="20"/>
        <v>-0.74</v>
      </c>
    </row>
    <row r="50" spans="1:46" x14ac:dyDescent="0.25">
      <c r="A50" s="27">
        <v>45</v>
      </c>
      <c r="B50" s="27">
        <v>1</v>
      </c>
      <c r="C50" s="27" t="s">
        <v>432</v>
      </c>
      <c r="D50" s="27" t="s">
        <v>27</v>
      </c>
      <c r="E50" s="27" t="s">
        <v>274</v>
      </c>
      <c r="F50" s="27" t="s">
        <v>306</v>
      </c>
      <c r="G50" s="27" t="s">
        <v>372</v>
      </c>
      <c r="H50" s="27" t="s">
        <v>302</v>
      </c>
      <c r="I50" s="1">
        <v>250</v>
      </c>
      <c r="J50" s="27" t="s">
        <v>10</v>
      </c>
      <c r="K50" s="27" t="s">
        <v>433</v>
      </c>
      <c r="L50" s="27" t="s">
        <v>552</v>
      </c>
      <c r="M50" s="1" t="e" vm="23">
        <v>#VALUE!</v>
      </c>
      <c r="N50" s="56">
        <v>0.125</v>
      </c>
      <c r="O50" s="18">
        <v>45538</v>
      </c>
      <c r="P50" s="19" t="s">
        <v>354</v>
      </c>
      <c r="Q50" s="18" t="s">
        <v>339</v>
      </c>
      <c r="R50" s="2">
        <v>10.26928</v>
      </c>
      <c r="S50" s="4">
        <v>0</v>
      </c>
      <c r="T50" s="2">
        <v>0</v>
      </c>
      <c r="U50" s="30">
        <v>1</v>
      </c>
      <c r="V50" s="3">
        <v>2.3199999999999998</v>
      </c>
      <c r="W50" s="20">
        <f t="shared" si="12"/>
        <v>2569.6400000000003</v>
      </c>
      <c r="X50" s="21" t="s">
        <v>354</v>
      </c>
      <c r="Y50" s="17" t="s">
        <v>339</v>
      </c>
      <c r="Z50" s="83" cm="1">
        <f t="array" aca="1" ref="Z50" ca="1">_FV(M50,"Price")</f>
        <v>10.4085</v>
      </c>
      <c r="AA50" s="32">
        <f>SUMIF(Operazioni!A:A,A50,Operazioni!C:C)</f>
        <v>0</v>
      </c>
      <c r="AB50" s="35">
        <f>INDEX(Valute!B:B,MATCH(J50,Valute!A:A,0))</f>
        <v>1.0000000018919131</v>
      </c>
      <c r="AC50" s="21">
        <f>SUMIF(Operazioni!A:A,A50,Operazioni!K:K)</f>
        <v>113.4</v>
      </c>
      <c r="AD50" s="21">
        <f t="shared" ca="1" si="13"/>
        <v>2715.5250049229944</v>
      </c>
      <c r="AE50" s="38">
        <f t="shared" ca="1" si="14"/>
        <v>145.88500492299409</v>
      </c>
      <c r="AF50" s="76">
        <f t="shared" ca="1" si="15"/>
        <v>5.6772545929777735E-2</v>
      </c>
      <c r="AO50" s="25">
        <f t="shared" si="4"/>
        <v>99.225000000000009</v>
      </c>
      <c r="AP50" s="25">
        <f t="shared" si="16"/>
        <v>113.4</v>
      </c>
      <c r="AQ50" s="25">
        <f t="shared" si="17"/>
        <v>-2456.2400000000002</v>
      </c>
      <c r="AR50" s="44">
        <f t="shared" si="18"/>
        <v>-0.95586930464967856</v>
      </c>
      <c r="AS50" s="25">
        <f t="shared" si="19"/>
        <v>-321.20500000000004</v>
      </c>
      <c r="AT50" s="44">
        <f t="shared" si="20"/>
        <v>-0.83086930464967856</v>
      </c>
    </row>
    <row r="51" spans="1:46" x14ac:dyDescent="0.25">
      <c r="A51" s="27">
        <v>46</v>
      </c>
      <c r="B51" s="27">
        <v>1</v>
      </c>
      <c r="C51" s="27" t="s">
        <v>428</v>
      </c>
      <c r="D51" s="27" t="s">
        <v>27</v>
      </c>
      <c r="E51" s="27" t="s">
        <v>274</v>
      </c>
      <c r="F51" s="27" t="s">
        <v>306</v>
      </c>
      <c r="G51" s="27" t="s">
        <v>372</v>
      </c>
      <c r="H51" s="27" t="s">
        <v>365</v>
      </c>
      <c r="I51" s="1">
        <v>21</v>
      </c>
      <c r="J51" s="27" t="s">
        <v>10</v>
      </c>
      <c r="K51" s="27" t="s">
        <v>429</v>
      </c>
      <c r="L51" s="27" t="s">
        <v>540</v>
      </c>
      <c r="M51" s="1" t="e" vm="21">
        <v>#VALUE!</v>
      </c>
      <c r="N51" s="56">
        <v>0.125</v>
      </c>
      <c r="O51" s="18">
        <v>45562</v>
      </c>
      <c r="P51" s="19" t="s">
        <v>354</v>
      </c>
      <c r="Q51" s="18" t="s">
        <v>339</v>
      </c>
      <c r="R51" s="2">
        <v>143.625</v>
      </c>
      <c r="S51" s="4">
        <v>0</v>
      </c>
      <c r="T51" s="2">
        <v>0</v>
      </c>
      <c r="U51" s="30">
        <v>1</v>
      </c>
      <c r="W51" s="20">
        <f t="shared" si="12"/>
        <v>3016.125</v>
      </c>
      <c r="X51" s="21" t="s">
        <v>354</v>
      </c>
      <c r="Y51" s="17" t="s">
        <v>339</v>
      </c>
      <c r="Z51" s="83" cm="1">
        <f t="array" aca="1" ref="Z51" ca="1">_FV(M51,"Price")</f>
        <v>149.2184</v>
      </c>
      <c r="AA51" s="32">
        <f>SUMIF(Operazioni!A:A,A51,Operazioni!C:C)</f>
        <v>0</v>
      </c>
      <c r="AB51" s="35">
        <f>INDEX(Valute!B:B,MATCH(J51,Valute!A:A,0))</f>
        <v>1.0000000018919131</v>
      </c>
      <c r="AC51" s="21">
        <f>SUMIF(Operazioni!A:A,A51,Operazioni!K:K)</f>
        <v>0</v>
      </c>
      <c r="AD51" s="21">
        <f t="shared" ca="1" si="13"/>
        <v>3133.5864059284731</v>
      </c>
      <c r="AE51" s="38">
        <f t="shared" ca="1" si="14"/>
        <v>117.46140592847314</v>
      </c>
      <c r="AF51" s="76">
        <f t="shared" ca="1" si="15"/>
        <v>3.894447542077107E-2</v>
      </c>
      <c r="AO51" s="25">
        <f t="shared" si="4"/>
        <v>0</v>
      </c>
      <c r="AP51" s="25">
        <f t="shared" si="16"/>
        <v>0</v>
      </c>
      <c r="AQ51" s="25">
        <f t="shared" si="17"/>
        <v>-3016.125</v>
      </c>
      <c r="AR51" s="44">
        <f t="shared" si="18"/>
        <v>-1</v>
      </c>
      <c r="AS51" s="25">
        <f t="shared" si="19"/>
        <v>-377.015625</v>
      </c>
      <c r="AT51" s="44">
        <f t="shared" si="20"/>
        <v>-0.875</v>
      </c>
    </row>
    <row r="52" spans="1:46" x14ac:dyDescent="0.25">
      <c r="A52" s="27">
        <v>47</v>
      </c>
      <c r="B52" s="27">
        <v>1</v>
      </c>
      <c r="C52" s="27" t="s">
        <v>407</v>
      </c>
      <c r="D52" s="27" t="s">
        <v>27</v>
      </c>
      <c r="E52" s="27" t="s">
        <v>273</v>
      </c>
      <c r="F52" s="27" t="s">
        <v>351</v>
      </c>
      <c r="G52" s="27"/>
      <c r="H52" s="27" t="s">
        <v>304</v>
      </c>
      <c r="I52" s="1">
        <v>9</v>
      </c>
      <c r="J52" s="27" t="s">
        <v>10</v>
      </c>
      <c r="K52" s="27" t="s">
        <v>408</v>
      </c>
      <c r="L52" s="27" t="s">
        <v>541</v>
      </c>
      <c r="M52" s="1" t="e" vm="19">
        <v>#VALUE!</v>
      </c>
      <c r="N52" s="56">
        <v>0.26</v>
      </c>
      <c r="O52" s="18">
        <v>45566</v>
      </c>
      <c r="P52" s="19" t="s">
        <v>354</v>
      </c>
      <c r="Q52" s="18" t="s">
        <v>339</v>
      </c>
      <c r="R52" s="2">
        <v>125.967</v>
      </c>
      <c r="S52" s="4">
        <v>0</v>
      </c>
      <c r="T52" s="2">
        <v>0</v>
      </c>
      <c r="U52" s="30">
        <v>1</v>
      </c>
      <c r="V52" s="3">
        <v>2.3199999999999998</v>
      </c>
      <c r="W52" s="20">
        <f t="shared" si="12"/>
        <v>1136.0229999999999</v>
      </c>
      <c r="X52" s="21" t="s">
        <v>354</v>
      </c>
      <c r="Y52" s="17" t="s">
        <v>339</v>
      </c>
      <c r="Z52" s="83" cm="1">
        <f t="array" aca="1" ref="Z52" ca="1">_FV(M52,"Price")</f>
        <v>162.56</v>
      </c>
      <c r="AA52" s="32">
        <f>SUMIF(Operazioni!A:A,A52,Operazioni!C:C)</f>
        <v>0</v>
      </c>
      <c r="AB52" s="35">
        <f>INDEX(Valute!B:B,MATCH(J52,Valute!A:A,0))</f>
        <v>1.0000000018919131</v>
      </c>
      <c r="AC52" s="21">
        <f>SUMIF(Operazioni!A:A,A52,Operazioni!K:K)</f>
        <v>0</v>
      </c>
      <c r="AD52" s="21">
        <f t="shared" ca="1" si="13"/>
        <v>1463.0400027679445</v>
      </c>
      <c r="AE52" s="38">
        <f t="shared" ca="1" si="14"/>
        <v>327.01700276794463</v>
      </c>
      <c r="AF52" s="76">
        <f t="shared" ca="1" si="15"/>
        <v>0.28786125172460825</v>
      </c>
      <c r="AO52" s="25">
        <f t="shared" si="4"/>
        <v>0</v>
      </c>
      <c r="AP52" s="25">
        <f t="shared" si="16"/>
        <v>0</v>
      </c>
      <c r="AQ52" s="25">
        <f t="shared" si="17"/>
        <v>-1136.0229999999999</v>
      </c>
      <c r="AR52" s="44">
        <f t="shared" si="18"/>
        <v>-1</v>
      </c>
      <c r="AS52" s="25">
        <f t="shared" si="19"/>
        <v>-295.36597999999998</v>
      </c>
      <c r="AT52" s="44">
        <f t="shared" si="20"/>
        <v>-0.74</v>
      </c>
    </row>
    <row r="53" spans="1:46" x14ac:dyDescent="0.25">
      <c r="A53" s="27">
        <v>48</v>
      </c>
      <c r="B53" s="27">
        <v>1</v>
      </c>
      <c r="C53" s="27" t="s">
        <v>430</v>
      </c>
      <c r="D53" s="27" t="s">
        <v>27</v>
      </c>
      <c r="E53" s="27" t="s">
        <v>274</v>
      </c>
      <c r="F53" s="27" t="s">
        <v>306</v>
      </c>
      <c r="G53" s="27" t="s">
        <v>394</v>
      </c>
      <c r="H53" s="27" t="s">
        <v>352</v>
      </c>
      <c r="I53" s="1">
        <v>450</v>
      </c>
      <c r="J53" s="27" t="s">
        <v>10</v>
      </c>
      <c r="K53" s="27" t="s">
        <v>431</v>
      </c>
      <c r="L53" s="27" t="s">
        <v>551</v>
      </c>
      <c r="M53" s="1" t="e" vm="22">
        <v>#VALUE!</v>
      </c>
      <c r="N53" s="56">
        <v>0.26</v>
      </c>
      <c r="O53" s="18">
        <v>45566</v>
      </c>
      <c r="P53" s="19" t="s">
        <v>354</v>
      </c>
      <c r="Q53" s="18" t="s">
        <v>339</v>
      </c>
      <c r="R53" s="2">
        <v>5.4370000000000003</v>
      </c>
      <c r="S53" s="4">
        <v>0</v>
      </c>
      <c r="T53" s="2">
        <v>0</v>
      </c>
      <c r="U53" s="30">
        <v>1</v>
      </c>
      <c r="V53" s="3">
        <v>2.3199999999999998</v>
      </c>
      <c r="W53" s="20">
        <f t="shared" si="12"/>
        <v>2448.9700000000003</v>
      </c>
      <c r="X53" s="21" t="s">
        <v>354</v>
      </c>
      <c r="Y53" s="17" t="s">
        <v>339</v>
      </c>
      <c r="Z53" s="83" cm="1">
        <f t="array" aca="1" ref="Z53" ca="1">_FV(M53,"Price")</f>
        <v>5.665</v>
      </c>
      <c r="AA53" s="32">
        <f>SUMIF(Operazioni!A:A,A53,Operazioni!C:C)</f>
        <v>0</v>
      </c>
      <c r="AB53" s="35">
        <f>INDEX(Valute!B:B,MATCH(J53,Valute!A:A,0))</f>
        <v>1.0000000018919131</v>
      </c>
      <c r="AC53" s="21">
        <f>SUMIF(Operazioni!A:A,A53,Operazioni!K:K)</f>
        <v>0</v>
      </c>
      <c r="AD53" s="21">
        <f t="shared" ca="1" si="13"/>
        <v>2549.2500048229595</v>
      </c>
      <c r="AE53" s="38">
        <f t="shared" ca="1" si="14"/>
        <v>100.2800048229592</v>
      </c>
      <c r="AF53" s="76">
        <f t="shared" ca="1" si="15"/>
        <v>4.0947829015038642E-2</v>
      </c>
      <c r="AO53" s="25">
        <f t="shared" si="4"/>
        <v>0</v>
      </c>
      <c r="AP53" s="25">
        <f t="shared" si="16"/>
        <v>0</v>
      </c>
      <c r="AQ53" s="25">
        <f t="shared" si="17"/>
        <v>-2448.9700000000003</v>
      </c>
      <c r="AR53" s="44">
        <f t="shared" si="18"/>
        <v>-1</v>
      </c>
      <c r="AS53" s="25">
        <f t="shared" si="19"/>
        <v>-636.73220000000003</v>
      </c>
      <c r="AT53" s="44">
        <f t="shared" si="20"/>
        <v>-0.7400000000000001</v>
      </c>
    </row>
    <row r="54" spans="1:46" x14ac:dyDescent="0.25">
      <c r="A54" s="27">
        <v>49</v>
      </c>
      <c r="B54" s="27">
        <v>1</v>
      </c>
      <c r="C54" s="27" t="s">
        <v>432</v>
      </c>
      <c r="D54" s="27" t="s">
        <v>27</v>
      </c>
      <c r="E54" s="27" t="s">
        <v>274</v>
      </c>
      <c r="F54" s="27" t="s">
        <v>306</v>
      </c>
      <c r="G54" s="27" t="s">
        <v>372</v>
      </c>
      <c r="H54" s="27" t="s">
        <v>302</v>
      </c>
      <c r="I54" s="1">
        <v>250</v>
      </c>
      <c r="J54" s="27" t="s">
        <v>10</v>
      </c>
      <c r="K54" s="27" t="s">
        <v>433</v>
      </c>
      <c r="L54" s="27" t="s">
        <v>552</v>
      </c>
      <c r="M54" s="1" t="e" vm="23">
        <v>#VALUE!</v>
      </c>
      <c r="N54" s="56">
        <v>0.125</v>
      </c>
      <c r="O54" s="18">
        <v>45566</v>
      </c>
      <c r="P54" s="19" t="s">
        <v>521</v>
      </c>
      <c r="Q54" s="18" t="s">
        <v>339</v>
      </c>
      <c r="R54" s="2">
        <v>10.407999999999999</v>
      </c>
      <c r="S54" s="4">
        <v>0</v>
      </c>
      <c r="T54" s="2">
        <v>0</v>
      </c>
      <c r="U54" s="30">
        <v>1</v>
      </c>
      <c r="V54" s="3">
        <v>2.3199999999999998</v>
      </c>
      <c r="W54" s="20">
        <f t="shared" si="12"/>
        <v>2604.3200000000002</v>
      </c>
      <c r="X54" s="21" t="s">
        <v>521</v>
      </c>
      <c r="Y54" s="17" t="s">
        <v>339</v>
      </c>
      <c r="Z54" s="83" cm="1">
        <f t="array" aca="1" ref="Z54" ca="1">_FV(M54,"Price")</f>
        <v>10.4085</v>
      </c>
      <c r="AA54" s="32">
        <f>SUMIF(Operazioni!A:A,A54,Operazioni!C:C)</f>
        <v>0</v>
      </c>
      <c r="AB54" s="35">
        <f>INDEX(Valute!B:B,MATCH(J54,Valute!A:A,0))</f>
        <v>1.0000000018919131</v>
      </c>
      <c r="AC54" s="21">
        <f>SUMIF(Operazioni!A:A,A54,Operazioni!K:K)</f>
        <v>0</v>
      </c>
      <c r="AD54" s="21">
        <f t="shared" ca="1" si="13"/>
        <v>2602.1250049229943</v>
      </c>
      <c r="AE54" s="38">
        <f t="shared" ca="1" si="14"/>
        <v>-2.1949950770058422</v>
      </c>
      <c r="AF54" s="76">
        <f t="shared" ca="1" si="15"/>
        <v>-8.4282848382911545E-4</v>
      </c>
      <c r="AO54" s="25">
        <f t="shared" si="4"/>
        <v>0</v>
      </c>
      <c r="AP54" s="25">
        <f t="shared" si="16"/>
        <v>0</v>
      </c>
      <c r="AQ54" s="25">
        <f t="shared" si="17"/>
        <v>-2604.3200000000002</v>
      </c>
      <c r="AR54" s="44">
        <f t="shared" si="18"/>
        <v>-1</v>
      </c>
      <c r="AS54" s="25">
        <f t="shared" si="19"/>
        <v>-325.54000000000002</v>
      </c>
      <c r="AT54" s="44">
        <f t="shared" si="20"/>
        <v>-0.875</v>
      </c>
    </row>
    <row r="55" spans="1:46" x14ac:dyDescent="0.25">
      <c r="A55" s="27">
        <v>50</v>
      </c>
      <c r="B55" s="27">
        <v>1</v>
      </c>
      <c r="C55" s="27" t="s">
        <v>428</v>
      </c>
      <c r="D55" s="27" t="s">
        <v>27</v>
      </c>
      <c r="E55" s="27" t="s">
        <v>274</v>
      </c>
      <c r="F55" s="27" t="s">
        <v>306</v>
      </c>
      <c r="G55" s="27" t="s">
        <v>372</v>
      </c>
      <c r="H55" s="27" t="s">
        <v>365</v>
      </c>
      <c r="I55" s="1">
        <v>5</v>
      </c>
      <c r="J55" s="27" t="s">
        <v>10</v>
      </c>
      <c r="K55" s="27" t="s">
        <v>429</v>
      </c>
      <c r="L55" s="27" t="s">
        <v>540</v>
      </c>
      <c r="M55" s="1" t="e" vm="21">
        <v>#VALUE!</v>
      </c>
      <c r="N55" s="56">
        <v>0.125</v>
      </c>
      <c r="O55" s="18">
        <v>45593</v>
      </c>
      <c r="P55" s="19" t="s">
        <v>354</v>
      </c>
      <c r="Q55" s="18" t="s">
        <v>339</v>
      </c>
      <c r="R55" s="2">
        <v>144.02189999999999</v>
      </c>
      <c r="S55" s="4">
        <v>0</v>
      </c>
      <c r="T55" s="2">
        <v>0</v>
      </c>
      <c r="U55" s="30">
        <v>1</v>
      </c>
      <c r="W55" s="20">
        <f t="shared" ref="W55" si="21">(I55/IF(OR(D55="O",D55="CE"),100,1)*R55*(1+S55)+T55)*U55+V55</f>
        <v>720.10949999999991</v>
      </c>
      <c r="X55" s="21" t="s">
        <v>354</v>
      </c>
      <c r="Y55" s="17" t="s">
        <v>339</v>
      </c>
      <c r="Z55" s="83" cm="1">
        <f t="array" aca="1" ref="Z55" ca="1">_FV(M55,"Price")</f>
        <v>149.2184</v>
      </c>
      <c r="AA55" s="32">
        <f>SUMIF(Operazioni!A:A,A55,Operazioni!C:C)</f>
        <v>0</v>
      </c>
      <c r="AB55" s="35">
        <f>INDEX(Valute!B:B,MATCH(J55,Valute!A:A,0))</f>
        <v>1.0000000018919131</v>
      </c>
      <c r="AC55" s="21">
        <f>SUMIF(Operazioni!A:A,A55,Operazioni!K:K)</f>
        <v>0</v>
      </c>
      <c r="AD55" s="21">
        <f t="shared" ca="1" si="13"/>
        <v>746.09200141154122</v>
      </c>
      <c r="AE55" s="38">
        <f t="shared" ca="1" si="14"/>
        <v>25.982501411541307</v>
      </c>
      <c r="AF55" s="76">
        <f t="shared" ca="1" si="15"/>
        <v>3.6081320148590335E-2</v>
      </c>
      <c r="AO55" s="25">
        <f t="shared" si="4"/>
        <v>0</v>
      </c>
      <c r="AP55" s="25">
        <f t="shared" si="16"/>
        <v>0</v>
      </c>
      <c r="AQ55" s="25">
        <f t="shared" si="17"/>
        <v>-720.10949999999991</v>
      </c>
      <c r="AR55" s="44">
        <f t="shared" si="18"/>
        <v>-1</v>
      </c>
      <c r="AS55" s="25">
        <f t="shared" si="19"/>
        <v>-90.013687499999989</v>
      </c>
      <c r="AT55" s="44">
        <f t="shared" si="20"/>
        <v>-0.87500000000000011</v>
      </c>
    </row>
    <row r="56" spans="1:46" x14ac:dyDescent="0.25">
      <c r="A56" s="27">
        <v>51</v>
      </c>
      <c r="B56" s="27">
        <v>1</v>
      </c>
      <c r="C56" s="27" t="s">
        <v>407</v>
      </c>
      <c r="D56" s="27" t="s">
        <v>27</v>
      </c>
      <c r="E56" s="27" t="s">
        <v>273</v>
      </c>
      <c r="F56" s="27" t="s">
        <v>351</v>
      </c>
      <c r="G56" s="27"/>
      <c r="H56" s="27" t="s">
        <v>304</v>
      </c>
      <c r="I56" s="1">
        <v>8</v>
      </c>
      <c r="J56" s="27" t="s">
        <v>10</v>
      </c>
      <c r="K56" s="27" t="s">
        <v>408</v>
      </c>
      <c r="L56" s="27" t="s">
        <v>541</v>
      </c>
      <c r="M56" s="1" t="e" vm="19">
        <v>#VALUE!</v>
      </c>
      <c r="N56" s="56">
        <v>0.26</v>
      </c>
      <c r="O56" s="18">
        <v>45597</v>
      </c>
      <c r="P56" s="19" t="s">
        <v>354</v>
      </c>
      <c r="Q56" s="18" t="s">
        <v>339</v>
      </c>
      <c r="R56" s="2">
        <v>126.52</v>
      </c>
      <c r="S56" s="4">
        <v>0</v>
      </c>
      <c r="T56" s="2">
        <v>0</v>
      </c>
      <c r="U56" s="30">
        <v>1</v>
      </c>
      <c r="V56" s="3">
        <v>2.95</v>
      </c>
      <c r="W56" s="20">
        <f t="shared" si="12"/>
        <v>1015.11</v>
      </c>
      <c r="X56" s="21" t="s">
        <v>354</v>
      </c>
      <c r="Y56" s="17" t="s">
        <v>339</v>
      </c>
      <c r="Z56" s="83" cm="1">
        <f t="array" aca="1" ref="Z56" ca="1">_FV(M56,"Price")</f>
        <v>162.56</v>
      </c>
      <c r="AA56" s="32">
        <f>SUMIF(Operazioni!A:A,A56,Operazioni!C:C)</f>
        <v>0</v>
      </c>
      <c r="AB56" s="35">
        <f>INDEX(Valute!B:B,MATCH(J56,Valute!A:A,0))</f>
        <v>1.0000000018919131</v>
      </c>
      <c r="AC56" s="21">
        <f>SUMIF(Operazioni!A:A,A56,Operazioni!K:K)</f>
        <v>0</v>
      </c>
      <c r="AD56" s="21">
        <f t="shared" ca="1" si="13"/>
        <v>1300.4800024603951</v>
      </c>
      <c r="AE56" s="38">
        <f t="shared" ca="1" si="14"/>
        <v>285.37000246039509</v>
      </c>
      <c r="AF56" s="76">
        <f t="shared" ca="1" si="15"/>
        <v>0.28112224533340729</v>
      </c>
      <c r="AO56" s="25">
        <f t="shared" si="4"/>
        <v>0</v>
      </c>
      <c r="AP56" s="25">
        <f t="shared" si="16"/>
        <v>0</v>
      </c>
      <c r="AQ56" s="25">
        <f t="shared" si="17"/>
        <v>-1015.11</v>
      </c>
      <c r="AR56" s="44">
        <f t="shared" si="18"/>
        <v>-1</v>
      </c>
      <c r="AS56" s="25">
        <f t="shared" si="19"/>
        <v>-263.92860000000002</v>
      </c>
      <c r="AT56" s="44">
        <f t="shared" si="20"/>
        <v>-0.73999999999999988</v>
      </c>
    </row>
    <row r="57" spans="1:46" x14ac:dyDescent="0.25">
      <c r="A57" s="27">
        <v>52</v>
      </c>
      <c r="B57" s="27">
        <v>1</v>
      </c>
      <c r="C57" s="27" t="s">
        <v>428</v>
      </c>
      <c r="D57" s="27" t="s">
        <v>27</v>
      </c>
      <c r="E57" s="27" t="s">
        <v>274</v>
      </c>
      <c r="F57" s="27" t="s">
        <v>306</v>
      </c>
      <c r="G57" s="27" t="s">
        <v>372</v>
      </c>
      <c r="H57" s="27" t="s">
        <v>365</v>
      </c>
      <c r="I57" s="1">
        <v>3</v>
      </c>
      <c r="J57" s="27" t="s">
        <v>10</v>
      </c>
      <c r="K57" s="27" t="s">
        <v>429</v>
      </c>
      <c r="L57" s="27" t="s">
        <v>540</v>
      </c>
      <c r="M57" s="1" t="e" vm="21">
        <v>#VALUE!</v>
      </c>
      <c r="N57" s="56">
        <v>0.125</v>
      </c>
      <c r="O57" s="18">
        <v>45623</v>
      </c>
      <c r="P57" s="19" t="s">
        <v>354</v>
      </c>
      <c r="Q57" s="18" t="s">
        <v>339</v>
      </c>
      <c r="R57" s="2">
        <v>144.4187</v>
      </c>
      <c r="S57" s="4">
        <v>0</v>
      </c>
      <c r="T57" s="2">
        <v>0</v>
      </c>
      <c r="U57" s="30">
        <v>1</v>
      </c>
      <c r="W57" s="20">
        <f t="shared" si="12"/>
        <v>433.2561</v>
      </c>
      <c r="X57" s="21" t="s">
        <v>354</v>
      </c>
      <c r="Y57" s="17" t="s">
        <v>339</v>
      </c>
      <c r="Z57" s="83" cm="1">
        <f t="array" aca="1" ref="Z57" ca="1">_FV(M57,"Price")</f>
        <v>149.2184</v>
      </c>
      <c r="AA57" s="32">
        <f>SUMIF(Operazioni!A:A,A57,Operazioni!C:C)</f>
        <v>0</v>
      </c>
      <c r="AB57" s="35">
        <f>INDEX(Valute!B:B,MATCH(J57,Valute!A:A,0))</f>
        <v>1.0000000018919131</v>
      </c>
      <c r="AC57" s="21">
        <f>SUMIF(Operazioni!A:A,A57,Operazioni!K:K)</f>
        <v>0</v>
      </c>
      <c r="AD57" s="21">
        <f t="shared" ca="1" si="13"/>
        <v>447.65520084692474</v>
      </c>
      <c r="AE57" s="38">
        <f t="shared" ca="1" si="14"/>
        <v>14.399100846924739</v>
      </c>
      <c r="AF57" s="76">
        <f t="shared" ca="1" si="15"/>
        <v>3.3234617693610635E-2</v>
      </c>
      <c r="AO57" s="25">
        <f t="shared" si="4"/>
        <v>0</v>
      </c>
      <c r="AP57" s="25">
        <f t="shared" si="16"/>
        <v>0</v>
      </c>
      <c r="AQ57" s="25">
        <f t="shared" si="17"/>
        <v>-433.2561</v>
      </c>
      <c r="AR57" s="44">
        <f t="shared" si="18"/>
        <v>-1</v>
      </c>
      <c r="AS57" s="25">
        <f t="shared" si="19"/>
        <v>-54.1570125</v>
      </c>
      <c r="AT57" s="44">
        <f t="shared" si="20"/>
        <v>-0.875</v>
      </c>
    </row>
    <row r="58" spans="1:46" x14ac:dyDescent="0.25">
      <c r="A58" s="27">
        <v>53</v>
      </c>
      <c r="B58" s="27">
        <v>1</v>
      </c>
      <c r="C58" s="27" t="s">
        <v>407</v>
      </c>
      <c r="D58" s="27" t="s">
        <v>27</v>
      </c>
      <c r="E58" s="27" t="s">
        <v>273</v>
      </c>
      <c r="F58" s="27" t="s">
        <v>351</v>
      </c>
      <c r="G58" s="27"/>
      <c r="H58" s="27" t="s">
        <v>304</v>
      </c>
      <c r="I58" s="1">
        <v>8</v>
      </c>
      <c r="J58" s="27" t="s">
        <v>10</v>
      </c>
      <c r="K58" s="27" t="s">
        <v>408</v>
      </c>
      <c r="L58" s="27" t="s">
        <v>541</v>
      </c>
      <c r="M58" s="1" t="e" vm="19">
        <v>#VALUE!</v>
      </c>
      <c r="N58" s="56">
        <v>0.26</v>
      </c>
      <c r="O58" s="18">
        <v>45628</v>
      </c>
      <c r="P58" s="19" t="s">
        <v>354</v>
      </c>
      <c r="Q58" s="19" t="s">
        <v>339</v>
      </c>
      <c r="R58" s="2">
        <v>135.065</v>
      </c>
      <c r="S58" s="4">
        <v>0</v>
      </c>
      <c r="T58" s="2">
        <v>0</v>
      </c>
      <c r="U58" s="30">
        <v>1</v>
      </c>
      <c r="V58" s="3">
        <v>2.95</v>
      </c>
      <c r="W58" s="20">
        <f t="shared" si="12"/>
        <v>1083.47</v>
      </c>
      <c r="X58" s="21" t="s">
        <v>354</v>
      </c>
      <c r="Y58" s="17" t="s">
        <v>339</v>
      </c>
      <c r="Z58" s="83" cm="1">
        <f t="array" aca="1" ref="Z58" ca="1">_FV(M58,"Price")</f>
        <v>162.56</v>
      </c>
      <c r="AA58" s="32">
        <f>SUMIF(Operazioni!A:A,A58,Operazioni!C:C)</f>
        <v>0</v>
      </c>
      <c r="AB58" s="35">
        <f>INDEX(Valute!B:B,MATCH(J58,Valute!A:A,0))</f>
        <v>1.0000000018919131</v>
      </c>
      <c r="AC58" s="21">
        <f>SUMIF(Operazioni!A:A,A58,Operazioni!K:K)</f>
        <v>0</v>
      </c>
      <c r="AD58" s="21">
        <f t="shared" ca="1" si="13"/>
        <v>1300.4800024603951</v>
      </c>
      <c r="AE58" s="38">
        <f t="shared" ca="1" si="14"/>
        <v>217.01000246039507</v>
      </c>
      <c r="AF58" s="76">
        <f t="shared" ca="1" si="15"/>
        <v>0.20029165778507488</v>
      </c>
      <c r="AO58" s="25">
        <f t="shared" si="4"/>
        <v>0</v>
      </c>
      <c r="AP58" s="25">
        <f t="shared" si="16"/>
        <v>0</v>
      </c>
      <c r="AQ58" s="25">
        <f t="shared" si="17"/>
        <v>-1083.47</v>
      </c>
      <c r="AR58" s="44">
        <f t="shared" si="18"/>
        <v>-1</v>
      </c>
      <c r="AS58" s="25">
        <f t="shared" si="19"/>
        <v>-281.7022</v>
      </c>
      <c r="AT58" s="44">
        <f t="shared" si="20"/>
        <v>-0.7400000000000001</v>
      </c>
    </row>
    <row r="59" spans="1:46" x14ac:dyDescent="0.25">
      <c r="A59" s="27">
        <v>55</v>
      </c>
      <c r="B59" s="27">
        <v>1</v>
      </c>
      <c r="C59" s="27" t="s">
        <v>407</v>
      </c>
      <c r="D59" s="27" t="s">
        <v>27</v>
      </c>
      <c r="E59" s="27" t="s">
        <v>273</v>
      </c>
      <c r="F59" s="27" t="s">
        <v>351</v>
      </c>
      <c r="G59" s="27"/>
      <c r="H59" s="27" t="s">
        <v>304</v>
      </c>
      <c r="I59" s="1">
        <v>8</v>
      </c>
      <c r="J59" s="27" t="s">
        <v>10</v>
      </c>
      <c r="K59" s="27" t="s">
        <v>408</v>
      </c>
      <c r="L59" s="27" t="s">
        <v>541</v>
      </c>
      <c r="M59" s="1" t="e" vm="19">
        <v>#VALUE!</v>
      </c>
      <c r="N59" s="56">
        <v>0.26</v>
      </c>
      <c r="O59" s="18">
        <v>45659</v>
      </c>
      <c r="P59" s="19" t="s">
        <v>354</v>
      </c>
      <c r="Q59" s="19" t="s">
        <v>339</v>
      </c>
      <c r="R59" s="2">
        <v>134.6438</v>
      </c>
      <c r="S59" s="4">
        <v>0</v>
      </c>
      <c r="T59" s="2">
        <v>0</v>
      </c>
      <c r="U59" s="30">
        <v>1</v>
      </c>
      <c r="V59" s="3">
        <v>2.95</v>
      </c>
      <c r="W59" s="20">
        <f t="shared" si="12"/>
        <v>1080.1004</v>
      </c>
      <c r="X59" s="21" t="s">
        <v>354</v>
      </c>
      <c r="Y59" s="17" t="s">
        <v>339</v>
      </c>
      <c r="Z59" s="83" cm="1">
        <f t="array" aca="1" ref="Z59" ca="1">_FV(M59,"Price")</f>
        <v>162.56</v>
      </c>
      <c r="AA59" s="32">
        <f>SUMIF(Operazioni!A:A,A59,Operazioni!C:C)</f>
        <v>0</v>
      </c>
      <c r="AB59" s="35">
        <f>INDEX(Valute!B:B,MATCH(J59,Valute!A:A,0))</f>
        <v>1.0000000018919131</v>
      </c>
      <c r="AC59" s="21">
        <f>SUMIF(Operazioni!A:A,A59,Operazioni!K:K)</f>
        <v>0</v>
      </c>
      <c r="AD59" s="21">
        <f t="shared" ca="1" si="13"/>
        <v>1300.4800024603951</v>
      </c>
      <c r="AE59" s="38">
        <f t="shared" ca="1" si="14"/>
        <v>220.37960246039506</v>
      </c>
      <c r="AF59" s="76">
        <f t="shared" ca="1" si="15"/>
        <v>0.20403621965179816</v>
      </c>
      <c r="AO59" s="25">
        <f t="shared" si="4"/>
        <v>0</v>
      </c>
      <c r="AP59" s="25">
        <f t="shared" si="16"/>
        <v>0</v>
      </c>
      <c r="AQ59" s="25">
        <f t="shared" si="17"/>
        <v>-1080.1004</v>
      </c>
      <c r="AR59" s="44">
        <f t="shared" si="18"/>
        <v>-1</v>
      </c>
      <c r="AS59" s="25">
        <f t="shared" si="19"/>
        <v>-280.82610400000004</v>
      </c>
      <c r="AT59" s="44">
        <f t="shared" si="20"/>
        <v>-0.74</v>
      </c>
    </row>
    <row r="60" spans="1:46" x14ac:dyDescent="0.25">
      <c r="A60" s="27">
        <v>57</v>
      </c>
      <c r="B60" s="27">
        <v>1</v>
      </c>
      <c r="C60" s="27" t="s">
        <v>525</v>
      </c>
      <c r="D60" s="27" t="s">
        <v>29</v>
      </c>
      <c r="E60" s="27" t="s">
        <v>274</v>
      </c>
      <c r="F60" s="27" t="s">
        <v>276</v>
      </c>
      <c r="G60" s="27" t="s">
        <v>372</v>
      </c>
      <c r="H60" s="27" t="s">
        <v>276</v>
      </c>
      <c r="I60" s="1">
        <v>2000</v>
      </c>
      <c r="J60" s="27" t="s">
        <v>10</v>
      </c>
      <c r="K60" s="27" t="s">
        <v>535</v>
      </c>
      <c r="N60" s="56">
        <v>0.125</v>
      </c>
      <c r="O60" s="18">
        <v>45705</v>
      </c>
      <c r="P60" s="19" t="s">
        <v>354</v>
      </c>
      <c r="Q60" s="19" t="s">
        <v>339</v>
      </c>
      <c r="R60" s="2">
        <v>100</v>
      </c>
      <c r="S60" s="4">
        <v>0</v>
      </c>
      <c r="T60" s="2">
        <v>0</v>
      </c>
      <c r="U60" s="30">
        <v>1</v>
      </c>
      <c r="W60" s="20">
        <f t="shared" si="12"/>
        <v>2000</v>
      </c>
      <c r="X60" s="21" t="s">
        <v>354</v>
      </c>
      <c r="Y60" s="17" t="s">
        <v>339</v>
      </c>
      <c r="Z60" s="90">
        <v>100</v>
      </c>
      <c r="AA60" s="32">
        <f>SUMIF(Operazioni!A:A,A60,Operazioni!C:C)</f>
        <v>0</v>
      </c>
      <c r="AB60" s="35">
        <f>INDEX(Valute!B:B,MATCH(J60,Valute!A:A,0))</f>
        <v>1.0000000018919131</v>
      </c>
      <c r="AC60" s="21">
        <f>SUMIF(Operazioni!A:A,A60,Operazioni!K:K)</f>
        <v>62.34375</v>
      </c>
      <c r="AD60" s="21">
        <f t="shared" si="13"/>
        <v>2062.3437537838263</v>
      </c>
      <c r="AE60" s="38">
        <f t="shared" si="14"/>
        <v>62.343753783826287</v>
      </c>
      <c r="AF60" s="76">
        <f t="shared" si="15"/>
        <v>3.1171876891913145E-2</v>
      </c>
      <c r="AO60" s="25">
        <f t="shared" si="4"/>
        <v>54.55078125</v>
      </c>
      <c r="AP60" s="25">
        <f t="shared" si="16"/>
        <v>62.34375</v>
      </c>
      <c r="AQ60" s="25">
        <f t="shared" si="17"/>
        <v>-1937.65625</v>
      </c>
      <c r="AR60" s="44">
        <f t="shared" si="18"/>
        <v>-0.96882812500000004</v>
      </c>
      <c r="AS60" s="25">
        <f t="shared" si="19"/>
        <v>-250</v>
      </c>
      <c r="AT60" s="44">
        <f t="shared" si="20"/>
        <v>-0.84382812500000004</v>
      </c>
    </row>
    <row r="61" spans="1:46" x14ac:dyDescent="0.25">
      <c r="A61" s="27">
        <v>58</v>
      </c>
      <c r="B61" s="27">
        <v>1</v>
      </c>
      <c r="C61" s="27" t="s">
        <v>560</v>
      </c>
      <c r="D61" s="27" t="s">
        <v>29</v>
      </c>
      <c r="E61" s="27" t="s">
        <v>274</v>
      </c>
      <c r="F61" s="27" t="s">
        <v>306</v>
      </c>
      <c r="G61" s="27" t="s">
        <v>372</v>
      </c>
      <c r="H61" s="27" t="s">
        <v>561</v>
      </c>
      <c r="I61" s="1">
        <v>2000</v>
      </c>
      <c r="J61" s="27" t="s">
        <v>10</v>
      </c>
      <c r="K61" s="27" t="s">
        <v>562</v>
      </c>
      <c r="N61" s="56">
        <v>0.125</v>
      </c>
      <c r="O61" s="18">
        <v>45715</v>
      </c>
      <c r="P61" s="19" t="s">
        <v>374</v>
      </c>
      <c r="Q61" s="19" t="s">
        <v>340</v>
      </c>
      <c r="R61" s="2">
        <v>95.52</v>
      </c>
      <c r="S61" s="4">
        <v>0</v>
      </c>
      <c r="T61" s="2">
        <v>0</v>
      </c>
      <c r="U61" s="30">
        <v>1</v>
      </c>
      <c r="V61" s="3">
        <v>8</v>
      </c>
      <c r="W61" s="20">
        <f t="shared" si="12"/>
        <v>1918.3999999999999</v>
      </c>
      <c r="X61" s="21" t="s">
        <v>354</v>
      </c>
      <c r="Y61" s="17" t="s">
        <v>340</v>
      </c>
      <c r="Z61" s="90">
        <v>100</v>
      </c>
      <c r="AA61" s="32">
        <f>SUMIF(Operazioni!A:A,A61,Operazioni!C:C)</f>
        <v>0</v>
      </c>
      <c r="AB61" s="35">
        <f>INDEX(Valute!B:B,MATCH(J61,Valute!A:A,0))</f>
        <v>1.0000000018919131</v>
      </c>
      <c r="AC61" s="21">
        <f>SUMIF(Operazioni!A:A,A61,Operazioni!K:K)</f>
        <v>13.125</v>
      </c>
      <c r="AD61" s="21">
        <f t="shared" si="13"/>
        <v>2013.1250037838261</v>
      </c>
      <c r="AE61" s="38">
        <f t="shared" si="14"/>
        <v>94.725003783826196</v>
      </c>
      <c r="AF61" s="76">
        <f t="shared" si="15"/>
        <v>4.9377087043278881E-2</v>
      </c>
      <c r="AO61" s="25">
        <f t="shared" si="4"/>
        <v>11.484375</v>
      </c>
      <c r="AP61" s="25">
        <f t="shared" si="16"/>
        <v>13.125</v>
      </c>
      <c r="AQ61" s="25">
        <f t="shared" si="17"/>
        <v>-1905.2749999999999</v>
      </c>
      <c r="AR61" s="44">
        <f t="shared" si="18"/>
        <v>-0.99315836113427858</v>
      </c>
      <c r="AS61" s="25">
        <f t="shared" si="19"/>
        <v>-239.79999999999998</v>
      </c>
      <c r="AT61" s="44">
        <f t="shared" si="20"/>
        <v>-0.86815836113427858</v>
      </c>
    </row>
    <row r="62" spans="1:46" x14ac:dyDescent="0.25">
      <c r="A62" s="27">
        <v>59</v>
      </c>
      <c r="B62" s="27">
        <v>1</v>
      </c>
      <c r="C62" s="27" t="s">
        <v>407</v>
      </c>
      <c r="D62" s="27" t="s">
        <v>27</v>
      </c>
      <c r="E62" s="27" t="s">
        <v>273</v>
      </c>
      <c r="F62" s="27" t="s">
        <v>351</v>
      </c>
      <c r="G62" s="27"/>
      <c r="H62" s="27" t="s">
        <v>304</v>
      </c>
      <c r="I62" s="1">
        <v>15</v>
      </c>
      <c r="J62" s="27" t="s">
        <v>10</v>
      </c>
      <c r="K62" s="27" t="s">
        <v>408</v>
      </c>
      <c r="L62" s="27" t="s">
        <v>541</v>
      </c>
      <c r="M62" s="1" t="e" vm="19">
        <v>#VALUE!</v>
      </c>
      <c r="N62" s="56">
        <v>0.26</v>
      </c>
      <c r="O62" s="18">
        <v>45719</v>
      </c>
      <c r="P62" s="19" t="s">
        <v>354</v>
      </c>
      <c r="Q62" s="19" t="s">
        <v>339</v>
      </c>
      <c r="R62" s="2">
        <v>137.01</v>
      </c>
      <c r="S62" s="4">
        <v>0</v>
      </c>
      <c r="T62" s="2">
        <v>0</v>
      </c>
      <c r="U62" s="30">
        <v>1</v>
      </c>
      <c r="V62" s="3">
        <v>2.95</v>
      </c>
      <c r="W62" s="20">
        <f t="shared" si="12"/>
        <v>2058.0999999999995</v>
      </c>
      <c r="X62" s="21" t="s">
        <v>354</v>
      </c>
      <c r="Y62" s="17" t="s">
        <v>339</v>
      </c>
      <c r="Z62" s="83" cm="1">
        <f t="array" aca="1" ref="Z62" ca="1">_FV(M62,"Price")</f>
        <v>162.56</v>
      </c>
      <c r="AA62" s="32">
        <f>SUMIF(Operazioni!A:A,A62,Operazioni!C:C)</f>
        <v>0</v>
      </c>
      <c r="AB62" s="35">
        <f>INDEX(Valute!B:B,MATCH(J62,Valute!A:A,0))</f>
        <v>1.0000000018919131</v>
      </c>
      <c r="AC62" s="21">
        <f>SUMIF(Operazioni!A:A,A62,Operazioni!K:K)</f>
        <v>0</v>
      </c>
      <c r="AD62" s="21">
        <f t="shared" ca="1" si="13"/>
        <v>2438.400004613241</v>
      </c>
      <c r="AE62" s="38">
        <f t="shared" ca="1" si="14"/>
        <v>380.30000461324153</v>
      </c>
      <c r="AF62" s="76">
        <f t="shared" ca="1" si="15"/>
        <v>0.18478208280124467</v>
      </c>
      <c r="AO62" s="25">
        <f t="shared" si="4"/>
        <v>0</v>
      </c>
      <c r="AP62" s="25">
        <f t="shared" si="16"/>
        <v>0</v>
      </c>
      <c r="AQ62" s="25">
        <f t="shared" si="17"/>
        <v>-2058.0999999999995</v>
      </c>
      <c r="AR62" s="44">
        <f t="shared" si="18"/>
        <v>-1</v>
      </c>
      <c r="AS62" s="25">
        <f t="shared" si="19"/>
        <v>-535.10599999999988</v>
      </c>
      <c r="AT62" s="44">
        <f t="shared" si="20"/>
        <v>-0.74</v>
      </c>
    </row>
    <row r="63" spans="1:46" x14ac:dyDescent="0.25">
      <c r="A63" s="27">
        <v>60</v>
      </c>
      <c r="B63" s="27">
        <v>1</v>
      </c>
      <c r="C63" s="27" t="s">
        <v>407</v>
      </c>
      <c r="D63" s="27" t="s">
        <v>27</v>
      </c>
      <c r="E63" s="27" t="s">
        <v>273</v>
      </c>
      <c r="F63" s="27" t="s">
        <v>351</v>
      </c>
      <c r="G63" s="27"/>
      <c r="H63" s="27" t="s">
        <v>304</v>
      </c>
      <c r="I63" s="1">
        <v>8</v>
      </c>
      <c r="J63" s="27" t="s">
        <v>10</v>
      </c>
      <c r="K63" s="27" t="s">
        <v>408</v>
      </c>
      <c r="L63" s="27" t="s">
        <v>541</v>
      </c>
      <c r="M63" s="1" t="e" vm="19">
        <v>#VALUE!</v>
      </c>
      <c r="N63" s="56">
        <v>0.26</v>
      </c>
      <c r="O63" s="18">
        <v>45748</v>
      </c>
      <c r="P63" s="19" t="s">
        <v>354</v>
      </c>
      <c r="Q63" s="19" t="s">
        <v>339</v>
      </c>
      <c r="R63" s="2">
        <v>127.081</v>
      </c>
      <c r="S63" s="4">
        <v>0</v>
      </c>
      <c r="T63" s="2">
        <v>0</v>
      </c>
      <c r="U63" s="30">
        <v>1</v>
      </c>
      <c r="V63" s="3">
        <v>2.95</v>
      </c>
      <c r="W63" s="20">
        <f t="shared" si="12"/>
        <v>1019.5980000000001</v>
      </c>
      <c r="X63" s="21" t="s">
        <v>354</v>
      </c>
      <c r="Y63" s="17" t="s">
        <v>339</v>
      </c>
      <c r="Z63" s="83" cm="1">
        <f t="array" aca="1" ref="Z63" ca="1">_FV(M63,"Price")</f>
        <v>162.56</v>
      </c>
      <c r="AA63" s="32">
        <f>SUMIF(Operazioni!A:A,A63,Operazioni!C:C)</f>
        <v>0</v>
      </c>
      <c r="AB63" s="35">
        <f>INDEX(Valute!B:B,MATCH(J63,Valute!A:A,0))</f>
        <v>1.0000000018919131</v>
      </c>
      <c r="AC63" s="21">
        <f>SUMIF(Operazioni!A:A,A63,Operazioni!K:K)</f>
        <v>0</v>
      </c>
      <c r="AD63" s="21">
        <f t="shared" ca="1" si="13"/>
        <v>1300.4800024603951</v>
      </c>
      <c r="AE63" s="38">
        <f t="shared" ca="1" si="14"/>
        <v>280.88200246039503</v>
      </c>
      <c r="AF63" s="76">
        <f t="shared" ca="1" si="15"/>
        <v>0.27548308496132301</v>
      </c>
      <c r="AO63" s="25">
        <f t="shared" si="4"/>
        <v>0</v>
      </c>
      <c r="AP63" s="25">
        <f t="shared" si="16"/>
        <v>0</v>
      </c>
      <c r="AQ63" s="25">
        <f t="shared" si="17"/>
        <v>-1019.5980000000001</v>
      </c>
      <c r="AR63" s="44">
        <f t="shared" si="18"/>
        <v>-1</v>
      </c>
      <c r="AS63" s="25">
        <f t="shared" si="19"/>
        <v>-265.09548000000001</v>
      </c>
      <c r="AT63" s="44">
        <f t="shared" si="20"/>
        <v>-0.74</v>
      </c>
    </row>
    <row r="64" spans="1:46" x14ac:dyDescent="0.25">
      <c r="A64" s="27">
        <v>61</v>
      </c>
      <c r="B64" s="27">
        <v>1</v>
      </c>
      <c r="C64" s="27" t="s">
        <v>407</v>
      </c>
      <c r="D64" s="27" t="s">
        <v>27</v>
      </c>
      <c r="E64" s="27" t="s">
        <v>273</v>
      </c>
      <c r="F64" s="27" t="s">
        <v>351</v>
      </c>
      <c r="G64" s="27"/>
      <c r="H64" s="27" t="s">
        <v>304</v>
      </c>
      <c r="I64" s="1">
        <v>9</v>
      </c>
      <c r="J64" s="27" t="s">
        <v>10</v>
      </c>
      <c r="K64" s="27" t="s">
        <v>408</v>
      </c>
      <c r="L64" s="27" t="s">
        <v>541</v>
      </c>
      <c r="M64" s="1" t="e" vm="19">
        <v>#VALUE!</v>
      </c>
      <c r="N64" s="56">
        <v>0.26</v>
      </c>
      <c r="O64" s="18">
        <v>45779</v>
      </c>
      <c r="P64" s="19" t="s">
        <v>354</v>
      </c>
      <c r="Q64" s="19" t="s">
        <v>339</v>
      </c>
      <c r="R64" s="2">
        <v>123.69</v>
      </c>
      <c r="S64" s="4">
        <v>0</v>
      </c>
      <c r="T64" s="2">
        <v>0</v>
      </c>
      <c r="U64" s="30">
        <v>1</v>
      </c>
      <c r="V64" s="3">
        <v>2.95</v>
      </c>
      <c r="W64" s="20">
        <f t="shared" si="12"/>
        <v>1116.1600000000001</v>
      </c>
      <c r="X64" s="21" t="s">
        <v>354</v>
      </c>
      <c r="Y64" s="17" t="s">
        <v>339</v>
      </c>
      <c r="Z64" s="83" cm="1">
        <f t="array" aca="1" ref="Z64" ca="1">_FV(M64,"Price")</f>
        <v>162.56</v>
      </c>
      <c r="AA64" s="32">
        <f>SUMIF(Operazioni!A:A,A64,Operazioni!C:C)</f>
        <v>0</v>
      </c>
      <c r="AB64" s="35">
        <f>INDEX(Valute!B:B,MATCH(J64,Valute!A:A,0))</f>
        <v>1.0000000018919131</v>
      </c>
      <c r="AC64" s="21">
        <f>SUMIF(Operazioni!A:A,A64,Operazioni!K:K)</f>
        <v>0</v>
      </c>
      <c r="AD64" s="21">
        <f ca="1">((I64+AA64)/IF(OR(D64="O",D64="CE"),100,1)*Z64)*AB64+AC64</f>
        <v>1463.0400027679445</v>
      </c>
      <c r="AE64" s="38">
        <f t="shared" ca="1" si="14"/>
        <v>346.88000276794446</v>
      </c>
      <c r="AF64" s="76">
        <f t="shared" ca="1" si="15"/>
        <v>0.31077981899364288</v>
      </c>
      <c r="AO64" s="25">
        <f t="shared" si="4"/>
        <v>0</v>
      </c>
      <c r="AP64" s="25">
        <f t="shared" si="16"/>
        <v>0</v>
      </c>
      <c r="AQ64" s="25">
        <f t="shared" si="17"/>
        <v>-1116.1600000000001</v>
      </c>
      <c r="AR64" s="44">
        <f t="shared" si="18"/>
        <v>-1</v>
      </c>
      <c r="AS64" s="25">
        <f t="shared" si="19"/>
        <v>-290.20160000000004</v>
      </c>
      <c r="AT64" s="44">
        <f t="shared" si="20"/>
        <v>-0.73999999999999988</v>
      </c>
    </row>
    <row r="65" spans="1:46" x14ac:dyDescent="0.25">
      <c r="A65" s="27">
        <v>62</v>
      </c>
      <c r="B65" s="27">
        <v>1</v>
      </c>
      <c r="C65" s="27" t="s">
        <v>586</v>
      </c>
      <c r="D65" s="27" t="s">
        <v>27</v>
      </c>
      <c r="E65" s="27" t="s">
        <v>274</v>
      </c>
      <c r="F65" s="27" t="s">
        <v>306</v>
      </c>
      <c r="G65" s="27" t="s">
        <v>394</v>
      </c>
      <c r="H65" s="27" t="s">
        <v>352</v>
      </c>
      <c r="I65" s="1">
        <v>880</v>
      </c>
      <c r="J65" s="27" t="s">
        <v>10</v>
      </c>
      <c r="K65" s="27" t="s">
        <v>587</v>
      </c>
      <c r="L65" s="27" t="s">
        <v>588</v>
      </c>
      <c r="M65" s="1" t="e" vm="24">
        <v>#VALUE!</v>
      </c>
      <c r="N65" s="56">
        <v>0.26</v>
      </c>
      <c r="O65" s="18">
        <v>45793</v>
      </c>
      <c r="P65" s="19" t="s">
        <v>354</v>
      </c>
      <c r="Q65" s="19" t="s">
        <v>340</v>
      </c>
      <c r="R65" s="2">
        <v>5.202</v>
      </c>
      <c r="S65" s="4">
        <v>0</v>
      </c>
      <c r="T65" s="2">
        <v>0</v>
      </c>
      <c r="U65" s="30">
        <v>1</v>
      </c>
      <c r="V65" s="3">
        <v>8.6999999999999993</v>
      </c>
      <c r="W65" s="20">
        <f t="shared" si="12"/>
        <v>4586.46</v>
      </c>
      <c r="X65" s="21" t="s">
        <v>354</v>
      </c>
      <c r="Y65" s="17" t="s">
        <v>340</v>
      </c>
      <c r="Z65" s="83" cm="1">
        <f t="array" aca="1" ref="Z65" ca="1">_FV(M65,"Price")</f>
        <v>5.2686000000000002</v>
      </c>
      <c r="AA65" s="32">
        <f>SUMIF(Operazioni!A:A,A65,Operazioni!C:C)</f>
        <v>0</v>
      </c>
      <c r="AB65" s="35">
        <f>INDEX(Valute!B:B,MATCH(J65,Valute!A:A,0))</f>
        <v>1.0000000018919131</v>
      </c>
      <c r="AC65" s="21">
        <f>SUMIF(Operazioni!A:A,A65,Operazioni!K:K)</f>
        <v>0</v>
      </c>
      <c r="AD65" s="21">
        <f ca="1">((I65+AA65)/IF(OR(D65="O",D65="CE"),100,1)*Z65)*AB65+AC65</f>
        <v>4636.3680087716057</v>
      </c>
      <c r="AE65" s="38">
        <f t="shared" ca="1" si="14"/>
        <v>49.908008771605637</v>
      </c>
      <c r="AF65" s="76">
        <f t="shared" ca="1" si="15"/>
        <v>1.0881596868086854E-2</v>
      </c>
      <c r="AO65" s="25">
        <f t="shared" si="4"/>
        <v>0</v>
      </c>
      <c r="AP65" s="25">
        <f t="shared" si="16"/>
        <v>0</v>
      </c>
      <c r="AQ65" s="25">
        <f t="shared" si="17"/>
        <v>-4586.46</v>
      </c>
      <c r="AR65" s="44">
        <f t="shared" si="18"/>
        <v>-1</v>
      </c>
      <c r="AS65" s="25">
        <f t="shared" si="19"/>
        <v>-1192.4796000000001</v>
      </c>
      <c r="AT65" s="44">
        <f t="shared" si="20"/>
        <v>-0.74</v>
      </c>
    </row>
    <row r="66" spans="1:46" x14ac:dyDescent="0.25">
      <c r="A66" s="27">
        <v>63</v>
      </c>
      <c r="B66" s="27">
        <v>1</v>
      </c>
      <c r="C66" s="69" t="s">
        <v>589</v>
      </c>
      <c r="D66" s="27" t="s">
        <v>29</v>
      </c>
      <c r="E66" s="27" t="s">
        <v>274</v>
      </c>
      <c r="F66" s="27" t="s">
        <v>276</v>
      </c>
      <c r="G66" s="27" t="s">
        <v>372</v>
      </c>
      <c r="H66" s="27" t="s">
        <v>276</v>
      </c>
      <c r="I66" s="1">
        <v>2000</v>
      </c>
      <c r="J66" s="27" t="s">
        <v>10</v>
      </c>
      <c r="K66" s="27" t="s">
        <v>590</v>
      </c>
      <c r="N66" s="56">
        <v>0.125</v>
      </c>
      <c r="O66" s="18">
        <v>45812</v>
      </c>
      <c r="P66" s="19" t="s">
        <v>354</v>
      </c>
      <c r="Q66" s="19" t="s">
        <v>339</v>
      </c>
      <c r="R66" s="2">
        <v>100</v>
      </c>
      <c r="S66" s="4">
        <v>0</v>
      </c>
      <c r="T66" s="2">
        <v>0</v>
      </c>
      <c r="U66" s="30">
        <v>1</v>
      </c>
      <c r="V66" s="3">
        <v>0</v>
      </c>
      <c r="W66" s="20">
        <f t="shared" si="12"/>
        <v>2000</v>
      </c>
      <c r="X66" s="21" t="s">
        <v>354</v>
      </c>
      <c r="Y66" s="17" t="s">
        <v>339</v>
      </c>
      <c r="Z66" s="90">
        <v>100</v>
      </c>
      <c r="AA66" s="32">
        <f>SUMIF(Operazioni!A:A,A66,Operazioni!C:C)</f>
        <v>0</v>
      </c>
      <c r="AB66" s="35">
        <f>INDEX(Valute!B:B,MATCH(J66,Valute!A:A,0))</f>
        <v>1.0000000018919131</v>
      </c>
      <c r="AC66" s="21">
        <f>SUMIF(Operazioni!A:A,A66,Operazioni!K:K)</f>
        <v>20.265000000000001</v>
      </c>
      <c r="AD66" s="21">
        <f t="shared" si="13"/>
        <v>2020.2650037838262</v>
      </c>
      <c r="AE66" s="38">
        <f t="shared" si="14"/>
        <v>20.26500378382616</v>
      </c>
      <c r="AF66" s="76">
        <f t="shared" si="15"/>
        <v>1.013250189191308E-2</v>
      </c>
      <c r="AO66" s="25">
        <f t="shared" si="4"/>
        <v>17.731875000000002</v>
      </c>
      <c r="AP66" s="25">
        <f t="shared" si="16"/>
        <v>20.265000000000001</v>
      </c>
      <c r="AQ66" s="25">
        <f t="shared" si="17"/>
        <v>-1979.7349999999999</v>
      </c>
      <c r="AR66" s="44">
        <f t="shared" si="18"/>
        <v>-0.9898674999999999</v>
      </c>
      <c r="AS66" s="25">
        <f t="shared" si="19"/>
        <v>-250</v>
      </c>
      <c r="AT66" s="44">
        <f t="shared" si="20"/>
        <v>-0.8648674999999999</v>
      </c>
    </row>
    <row r="67" spans="1:46" x14ac:dyDescent="0.25">
      <c r="A67" s="27">
        <v>64</v>
      </c>
      <c r="B67" s="27">
        <v>1</v>
      </c>
      <c r="C67" s="27" t="s">
        <v>423</v>
      </c>
      <c r="D67" s="27" t="s">
        <v>27</v>
      </c>
      <c r="E67" s="27" t="s">
        <v>522</v>
      </c>
      <c r="F67" s="27" t="s">
        <v>307</v>
      </c>
      <c r="G67" s="27" t="s">
        <v>425</v>
      </c>
      <c r="H67" s="27" t="s">
        <v>305</v>
      </c>
      <c r="I67" s="1">
        <v>5</v>
      </c>
      <c r="J67" s="27" t="s">
        <v>10</v>
      </c>
      <c r="K67" s="27" t="s">
        <v>424</v>
      </c>
      <c r="L67" s="27" t="s">
        <v>542</v>
      </c>
      <c r="M67" s="1" t="e" vm="20">
        <v>#VALUE!</v>
      </c>
      <c r="N67" s="56">
        <v>0.26</v>
      </c>
      <c r="O67" s="18">
        <v>45804</v>
      </c>
      <c r="P67" s="19" t="s">
        <v>354</v>
      </c>
      <c r="Q67" s="19" t="s">
        <v>340</v>
      </c>
      <c r="R67" s="2">
        <v>279.49</v>
      </c>
      <c r="S67" s="4">
        <v>0</v>
      </c>
      <c r="T67" s="2">
        <v>0</v>
      </c>
      <c r="U67" s="30">
        <v>1</v>
      </c>
      <c r="V67" s="3">
        <v>2.66</v>
      </c>
      <c r="W67" s="20">
        <f t="shared" si="12"/>
        <v>1400.1100000000001</v>
      </c>
      <c r="X67" s="21" t="s">
        <v>354</v>
      </c>
      <c r="Y67" s="17" t="s">
        <v>340</v>
      </c>
      <c r="Z67" s="83" cm="1">
        <f t="array" aca="1" ref="Z67" ca="1">_FV(M67,"Price")</f>
        <v>372.88</v>
      </c>
      <c r="AA67" s="32">
        <f>SUMIF(Operazioni!A:A,A67,Operazioni!C:C)</f>
        <v>0</v>
      </c>
      <c r="AB67" s="35">
        <f>INDEX(Valute!B:B,MATCH(J67,Valute!A:A,0))</f>
        <v>1.0000000018919131</v>
      </c>
      <c r="AC67" s="21">
        <f>SUMIF(Operazioni!A:A,A67,Operazioni!K:K)</f>
        <v>0</v>
      </c>
      <c r="AD67" s="21">
        <f t="shared" ca="1" si="13"/>
        <v>1864.4000035272827</v>
      </c>
      <c r="AE67" s="38">
        <f t="shared" ca="1" si="14"/>
        <v>464.29000352728258</v>
      </c>
      <c r="AF67" s="76">
        <f t="shared" ca="1" si="15"/>
        <v>0.33160966176034923</v>
      </c>
      <c r="AO67" s="25">
        <f t="shared" si="4"/>
        <v>0</v>
      </c>
      <c r="AP67" s="25">
        <f t="shared" si="16"/>
        <v>0</v>
      </c>
      <c r="AQ67" s="25">
        <f t="shared" si="17"/>
        <v>-1400.1100000000001</v>
      </c>
      <c r="AR67" s="44">
        <f t="shared" si="18"/>
        <v>-1</v>
      </c>
      <c r="AS67" s="25">
        <f t="shared" si="19"/>
        <v>-364.02860000000004</v>
      </c>
      <c r="AT67" s="44">
        <f t="shared" si="20"/>
        <v>-0.74</v>
      </c>
    </row>
    <row r="68" spans="1:46" x14ac:dyDescent="0.25">
      <c r="A68" s="27">
        <v>65</v>
      </c>
      <c r="B68" s="27">
        <v>1</v>
      </c>
      <c r="C68" s="27" t="s">
        <v>407</v>
      </c>
      <c r="D68" s="27" t="s">
        <v>27</v>
      </c>
      <c r="E68" s="27" t="s">
        <v>273</v>
      </c>
      <c r="F68" s="27" t="s">
        <v>351</v>
      </c>
      <c r="G68" s="27"/>
      <c r="H68" s="27" t="s">
        <v>304</v>
      </c>
      <c r="I68" s="1">
        <v>8</v>
      </c>
      <c r="J68" s="27" t="s">
        <v>10</v>
      </c>
      <c r="K68" s="27" t="s">
        <v>408</v>
      </c>
      <c r="L68" s="27" t="s">
        <v>541</v>
      </c>
      <c r="M68" s="1" t="e" vm="19">
        <v>#VALUE!</v>
      </c>
      <c r="N68" s="56">
        <v>0.26</v>
      </c>
      <c r="O68" s="18">
        <v>45810</v>
      </c>
      <c r="P68" s="19" t="s">
        <v>354</v>
      </c>
      <c r="Q68" s="19" t="s">
        <v>339</v>
      </c>
      <c r="R68" s="2">
        <v>127.42</v>
      </c>
      <c r="S68" s="4">
        <v>0</v>
      </c>
      <c r="T68" s="2">
        <v>0</v>
      </c>
      <c r="U68" s="30">
        <v>1</v>
      </c>
      <c r="V68" s="3">
        <v>2.95</v>
      </c>
      <c r="W68" s="20">
        <f t="shared" si="12"/>
        <v>1022.3100000000001</v>
      </c>
      <c r="X68" s="21" t="s">
        <v>354</v>
      </c>
      <c r="Y68" s="17" t="s">
        <v>339</v>
      </c>
      <c r="Z68" s="83" cm="1">
        <f t="array" aca="1" ref="Z68" ca="1">_FV(M68,"Price")</f>
        <v>162.56</v>
      </c>
      <c r="AA68" s="32">
        <f>SUMIF(Operazioni!A:A,A68,Operazioni!C:C)</f>
        <v>0</v>
      </c>
      <c r="AB68" s="35">
        <f>INDEX(Valute!B:B,MATCH(J68,Valute!A:A,0))</f>
        <v>1.0000000018919131</v>
      </c>
      <c r="AC68" s="21">
        <f>SUMIF(Operazioni!A:A,A68,Operazioni!K:K)</f>
        <v>0</v>
      </c>
      <c r="AD68" s="21">
        <f t="shared" ca="1" si="13"/>
        <v>1300.4800024603951</v>
      </c>
      <c r="AE68" s="38">
        <f t="shared" ca="1" si="14"/>
        <v>278.17000246039504</v>
      </c>
      <c r="AF68" s="76">
        <f t="shared" ca="1" si="15"/>
        <v>0.27209946343124397</v>
      </c>
      <c r="AO68" s="25">
        <f t="shared" si="4"/>
        <v>0</v>
      </c>
      <c r="AP68" s="25">
        <f t="shared" si="16"/>
        <v>0</v>
      </c>
      <c r="AQ68" s="25">
        <f t="shared" si="17"/>
        <v>-1022.3100000000001</v>
      </c>
      <c r="AR68" s="44">
        <f t="shared" si="18"/>
        <v>-1</v>
      </c>
      <c r="AS68" s="25">
        <f t="shared" si="19"/>
        <v>-265.80060000000003</v>
      </c>
      <c r="AT68" s="44">
        <f t="shared" si="20"/>
        <v>-0.74</v>
      </c>
    </row>
    <row r="69" spans="1:46" x14ac:dyDescent="0.25">
      <c r="A69" s="27">
        <v>66</v>
      </c>
      <c r="B69" s="27">
        <v>1</v>
      </c>
      <c r="C69" s="27" t="s">
        <v>594</v>
      </c>
      <c r="D69" s="27" t="s">
        <v>27</v>
      </c>
      <c r="E69" s="27" t="s">
        <v>274</v>
      </c>
      <c r="F69" s="27" t="s">
        <v>306</v>
      </c>
      <c r="G69" s="27" t="s">
        <v>394</v>
      </c>
      <c r="H69" s="27" t="s">
        <v>352</v>
      </c>
      <c r="I69" s="1">
        <v>476</v>
      </c>
      <c r="J69" s="27" t="s">
        <v>10</v>
      </c>
      <c r="K69" s="27" t="s">
        <v>591</v>
      </c>
      <c r="L69" s="27" t="s">
        <v>592</v>
      </c>
      <c r="M69" s="1" t="e" vm="25">
        <v>#VALUE!</v>
      </c>
      <c r="N69" s="56">
        <v>0.26</v>
      </c>
      <c r="O69" s="18">
        <v>45838</v>
      </c>
      <c r="P69" s="19" t="s">
        <v>354</v>
      </c>
      <c r="Q69" s="19" t="s">
        <v>340</v>
      </c>
      <c r="R69" s="2">
        <v>5.2350000000000003</v>
      </c>
      <c r="S69" s="4">
        <v>0</v>
      </c>
      <c r="T69" s="2">
        <v>0</v>
      </c>
      <c r="U69" s="30">
        <v>1</v>
      </c>
      <c r="V69" s="3">
        <v>4.7300000000000004</v>
      </c>
      <c r="W69" s="20">
        <f t="shared" ref="W69:W103" si="22">(I69/IF(OR(D69="O",D69="CE"),100,1)*R69*(1+S69)+T69)*U69+V69</f>
        <v>2496.59</v>
      </c>
      <c r="X69" s="21" t="s">
        <v>354</v>
      </c>
      <c r="Y69" s="17" t="s">
        <v>340</v>
      </c>
      <c r="Z69" s="83" cm="1">
        <f t="array" aca="1" ref="Z69" ca="1">_FV(M69,"Price")</f>
        <v>5.3090000000000002</v>
      </c>
      <c r="AA69" s="32">
        <f>SUMIF(Operazioni!A:A,A69,Operazioni!C:C)</f>
        <v>0</v>
      </c>
      <c r="AB69" s="35">
        <f>INDEX(Valute!B:B,MATCH(J69,Valute!A:A,0))</f>
        <v>1.0000000018919131</v>
      </c>
      <c r="AC69" s="21">
        <f>SUMIF(Operazioni!A:A,A69,Operazioni!K:K)</f>
        <v>0</v>
      </c>
      <c r="AD69" s="21">
        <f t="shared" ref="AD69:AD103" ca="1" si="23">((I69+AA69)/IF(OR(D69="O",D69="CE"),100,1)*Z69)*AB69+AC69</f>
        <v>2527.0840047810234</v>
      </c>
      <c r="AE69" s="38">
        <f t="shared" ref="AE69:AE103" ca="1" si="24">AD69-W69</f>
        <v>30.49400478102325</v>
      </c>
      <c r="AF69" s="76">
        <f t="shared" ref="AF69:AF103" ca="1" si="25">IF(W69&lt;&gt;0,AE69/W69,"")</f>
        <v>1.2214262166003728E-2</v>
      </c>
      <c r="AO69" s="25">
        <f t="shared" ref="AO69:AO131" si="26">AC69*(1-N69)</f>
        <v>0</v>
      </c>
      <c r="AP69" s="25">
        <f t="shared" ref="AP69:AP103" si="27">((I69+AA69)/IF(OR(D69="O",D69="CE"),100,1)*AJ69*(1-AK69)-AL69)*AM69-AN69+AC69</f>
        <v>0</v>
      </c>
      <c r="AQ69" s="25">
        <f t="shared" ref="AQ69:AQ103" si="28">AP69-W69</f>
        <v>-2496.59</v>
      </c>
      <c r="AR69" s="44">
        <f t="shared" ref="AR69:AR103" si="29">IF(W69&lt;&gt;0,AQ69/W69,"")</f>
        <v>-1</v>
      </c>
      <c r="AS69" s="25">
        <f t="shared" ref="AS69:AS103" si="30">(AQ69-AC69)*N69</f>
        <v>-649.11340000000007</v>
      </c>
      <c r="AT69" s="44">
        <f t="shared" ref="AT69:AT103" si="31">IF(W69&lt;&gt;0,(AQ69-AS69)/W69,"")</f>
        <v>-0.74</v>
      </c>
    </row>
    <row r="70" spans="1:46" x14ac:dyDescent="0.25">
      <c r="A70" s="27">
        <v>67</v>
      </c>
      <c r="B70" s="27">
        <v>1</v>
      </c>
      <c r="C70" s="27" t="s">
        <v>407</v>
      </c>
      <c r="D70" s="27" t="s">
        <v>27</v>
      </c>
      <c r="E70" s="27" t="s">
        <v>273</v>
      </c>
      <c r="F70" s="27" t="s">
        <v>351</v>
      </c>
      <c r="G70" s="27"/>
      <c r="H70" s="27" t="s">
        <v>304</v>
      </c>
      <c r="I70" s="1">
        <v>8</v>
      </c>
      <c r="J70" s="27" t="s">
        <v>10</v>
      </c>
      <c r="K70" s="27" t="s">
        <v>408</v>
      </c>
      <c r="L70" s="27" t="s">
        <v>541</v>
      </c>
      <c r="M70" s="1" t="e" vm="19">
        <v>#VALUE!</v>
      </c>
      <c r="N70" s="56">
        <v>0.26</v>
      </c>
      <c r="O70" s="18">
        <v>45839</v>
      </c>
      <c r="P70" s="19" t="s">
        <v>354</v>
      </c>
      <c r="Q70" s="19" t="s">
        <v>339</v>
      </c>
      <c r="R70" s="2">
        <v>129.56</v>
      </c>
      <c r="S70" s="4">
        <v>0</v>
      </c>
      <c r="T70" s="2">
        <v>0</v>
      </c>
      <c r="U70" s="30">
        <v>1</v>
      </c>
      <c r="V70" s="3">
        <v>2.95</v>
      </c>
      <c r="W70" s="20">
        <f t="shared" si="22"/>
        <v>1039.43</v>
      </c>
      <c r="X70" s="21" t="s">
        <v>354</v>
      </c>
      <c r="Y70" s="17" t="s">
        <v>339</v>
      </c>
      <c r="Z70" s="83" cm="1">
        <f t="array" aca="1" ref="Z70" ca="1">_FV(M70,"Price")</f>
        <v>162.56</v>
      </c>
      <c r="AA70" s="32">
        <f>SUMIF(Operazioni!A:A,A70,Operazioni!C:C)</f>
        <v>0</v>
      </c>
      <c r="AB70" s="35">
        <f>INDEX(Valute!B:B,MATCH(J70,Valute!A:A,0))</f>
        <v>1.0000000018919131</v>
      </c>
      <c r="AC70" s="21">
        <f>SUMIF(Operazioni!A:A,A70,Operazioni!K:K)</f>
        <v>0</v>
      </c>
      <c r="AD70" s="21">
        <f t="shared" ca="1" si="23"/>
        <v>1300.4800024603951</v>
      </c>
      <c r="AE70" s="38">
        <f t="shared" ca="1" si="24"/>
        <v>261.05000246039504</v>
      </c>
      <c r="AF70" s="76">
        <f t="shared" ca="1" si="25"/>
        <v>0.25114726577104279</v>
      </c>
      <c r="AO70" s="25">
        <f t="shared" si="26"/>
        <v>0</v>
      </c>
      <c r="AP70" s="25">
        <f t="shared" si="27"/>
        <v>0</v>
      </c>
      <c r="AQ70" s="25">
        <f t="shared" si="28"/>
        <v>-1039.43</v>
      </c>
      <c r="AR70" s="44">
        <f t="shared" si="29"/>
        <v>-1</v>
      </c>
      <c r="AS70" s="25">
        <f t="shared" si="30"/>
        <v>-270.2518</v>
      </c>
      <c r="AT70" s="44">
        <f t="shared" si="31"/>
        <v>-0.74</v>
      </c>
    </row>
    <row r="71" spans="1:46" x14ac:dyDescent="0.25">
      <c r="A71" s="27">
        <v>68</v>
      </c>
      <c r="B71" s="27">
        <v>1</v>
      </c>
      <c r="C71" s="27" t="s">
        <v>594</v>
      </c>
      <c r="D71" s="27" t="s">
        <v>27</v>
      </c>
      <c r="E71" s="27" t="s">
        <v>274</v>
      </c>
      <c r="F71" s="27" t="s">
        <v>306</v>
      </c>
      <c r="G71" s="27" t="s">
        <v>394</v>
      </c>
      <c r="H71" s="27" t="s">
        <v>352</v>
      </c>
      <c r="I71" s="1">
        <v>400</v>
      </c>
      <c r="J71" s="27" t="s">
        <v>10</v>
      </c>
      <c r="K71" s="27" t="s">
        <v>591</v>
      </c>
      <c r="L71" s="27" t="s">
        <v>592</v>
      </c>
      <c r="M71" s="1" t="e" vm="25">
        <v>#VALUE!</v>
      </c>
      <c r="N71" s="56">
        <v>0.26</v>
      </c>
      <c r="O71" s="18">
        <v>45866</v>
      </c>
      <c r="P71" s="19" t="s">
        <v>354</v>
      </c>
      <c r="Q71" s="19" t="s">
        <v>340</v>
      </c>
      <c r="R71" s="2">
        <v>5.258</v>
      </c>
      <c r="S71" s="4">
        <v>0</v>
      </c>
      <c r="T71" s="2">
        <v>0</v>
      </c>
      <c r="U71" s="30">
        <v>1</v>
      </c>
      <c r="V71" s="3">
        <v>4</v>
      </c>
      <c r="W71" s="20">
        <f t="shared" si="22"/>
        <v>2107.1999999999998</v>
      </c>
      <c r="X71" s="21" t="s">
        <v>354</v>
      </c>
      <c r="Y71" s="17" t="s">
        <v>340</v>
      </c>
      <c r="Z71" s="83" cm="1">
        <f t="array" aca="1" ref="Z71" ca="1">_FV(M71,"Price")</f>
        <v>5.3090000000000002</v>
      </c>
      <c r="AA71" s="32">
        <f>SUMIF(Operazioni!A:A,A71,Operazioni!C:C)</f>
        <v>0</v>
      </c>
      <c r="AB71" s="35">
        <f>INDEX(Valute!B:B,MATCH(J71,Valute!A:A,0))</f>
        <v>1.0000000018919131</v>
      </c>
      <c r="AC71" s="21">
        <f>SUMIF(Operazioni!A:A,A71,Operazioni!K:K)</f>
        <v>0</v>
      </c>
      <c r="AD71" s="21">
        <f t="shared" ca="1" si="23"/>
        <v>2123.6000040176664</v>
      </c>
      <c r="AE71" s="38">
        <f t="shared" ca="1" si="24"/>
        <v>16.400004017666561</v>
      </c>
      <c r="AF71" s="76">
        <f t="shared" ca="1" si="25"/>
        <v>7.7828416940331066E-3</v>
      </c>
      <c r="AO71" s="25">
        <f t="shared" si="26"/>
        <v>0</v>
      </c>
      <c r="AP71" s="25">
        <f t="shared" si="27"/>
        <v>0</v>
      </c>
      <c r="AQ71" s="25">
        <f t="shared" si="28"/>
        <v>-2107.1999999999998</v>
      </c>
      <c r="AR71" s="44">
        <f t="shared" si="29"/>
        <v>-1</v>
      </c>
      <c r="AS71" s="25">
        <f t="shared" si="30"/>
        <v>-547.87199999999996</v>
      </c>
      <c r="AT71" s="44">
        <f t="shared" si="31"/>
        <v>-0.7400000000000001</v>
      </c>
    </row>
    <row r="72" spans="1:46" x14ac:dyDescent="0.25">
      <c r="A72" s="27">
        <v>69</v>
      </c>
      <c r="B72" s="27">
        <v>1</v>
      </c>
      <c r="C72" s="27" t="s">
        <v>407</v>
      </c>
      <c r="D72" s="27" t="s">
        <v>27</v>
      </c>
      <c r="E72" s="27" t="s">
        <v>273</v>
      </c>
      <c r="F72" s="27" t="s">
        <v>351</v>
      </c>
      <c r="G72" s="27"/>
      <c r="H72" s="27" t="s">
        <v>304</v>
      </c>
      <c r="I72" s="1">
        <v>8</v>
      </c>
      <c r="J72" s="27" t="s">
        <v>10</v>
      </c>
      <c r="K72" s="27" t="s">
        <v>408</v>
      </c>
      <c r="L72" s="27" t="s">
        <v>541</v>
      </c>
      <c r="M72" s="1" t="e" vm="19">
        <v>#VALUE!</v>
      </c>
      <c r="N72" s="56">
        <v>0.26</v>
      </c>
      <c r="O72" s="18">
        <v>45873</v>
      </c>
      <c r="P72" s="19" t="s">
        <v>354</v>
      </c>
      <c r="Q72" s="19" t="s">
        <v>339</v>
      </c>
      <c r="R72" s="2">
        <v>133.44999999999999</v>
      </c>
      <c r="S72" s="4">
        <v>0</v>
      </c>
      <c r="T72" s="2">
        <v>0</v>
      </c>
      <c r="U72" s="30">
        <v>1</v>
      </c>
      <c r="V72" s="3">
        <v>2.95</v>
      </c>
      <c r="W72" s="20">
        <f>(I72/IF(OR(D72="O",D72="CE"),100,1)*R72*(1+S72)+T72)*U72+V72</f>
        <v>1070.55</v>
      </c>
      <c r="X72" s="21" t="s">
        <v>354</v>
      </c>
      <c r="Y72" s="17" t="s">
        <v>339</v>
      </c>
      <c r="Z72" s="83" cm="1">
        <f t="array" aca="1" ref="Z72" ca="1">_FV(M72,"Price")</f>
        <v>162.56</v>
      </c>
      <c r="AA72" s="32">
        <f>SUMIF(Operazioni!A:A,A72,Operazioni!C:C)</f>
        <v>0</v>
      </c>
      <c r="AB72" s="35">
        <f>INDEX(Valute!B:B,MATCH(J72,Valute!A:A,0))</f>
        <v>1.0000000018919131</v>
      </c>
      <c r="AC72" s="21">
        <f>SUMIF(Operazioni!A:A,A72,Operazioni!K:K)</f>
        <v>0</v>
      </c>
      <c r="AD72" s="21">
        <f t="shared" ca="1" si="23"/>
        <v>1300.4800024603951</v>
      </c>
      <c r="AE72" s="38">
        <f t="shared" ca="1" si="24"/>
        <v>229.93000246039514</v>
      </c>
      <c r="AF72" s="76">
        <f t="shared" ca="1" si="25"/>
        <v>0.214777453141278</v>
      </c>
      <c r="AO72" s="25">
        <f t="shared" si="26"/>
        <v>0</v>
      </c>
      <c r="AP72" s="25">
        <f t="shared" si="27"/>
        <v>0</v>
      </c>
      <c r="AQ72" s="25">
        <f t="shared" si="28"/>
        <v>-1070.55</v>
      </c>
      <c r="AR72" s="44">
        <f t="shared" si="29"/>
        <v>-1</v>
      </c>
      <c r="AS72" s="25">
        <f t="shared" si="30"/>
        <v>-278.34300000000002</v>
      </c>
      <c r="AT72" s="44">
        <f t="shared" si="31"/>
        <v>-0.73999999999999988</v>
      </c>
    </row>
    <row r="73" spans="1:46" x14ac:dyDescent="0.25">
      <c r="A73" s="27">
        <v>70</v>
      </c>
      <c r="B73" s="27">
        <v>1</v>
      </c>
      <c r="C73" s="27" t="s">
        <v>593</v>
      </c>
      <c r="D73" s="27" t="s">
        <v>27</v>
      </c>
      <c r="E73" s="27" t="s">
        <v>274</v>
      </c>
      <c r="F73" s="27" t="s">
        <v>306</v>
      </c>
      <c r="G73" s="27" t="s">
        <v>394</v>
      </c>
      <c r="H73" s="27" t="s">
        <v>352</v>
      </c>
      <c r="I73" s="1">
        <v>670</v>
      </c>
      <c r="J73" s="27" t="s">
        <v>10</v>
      </c>
      <c r="K73" s="27" t="s">
        <v>595</v>
      </c>
      <c r="L73" s="27" t="s">
        <v>596</v>
      </c>
      <c r="M73" s="1" t="e" vm="26">
        <v>#VALUE!</v>
      </c>
      <c r="N73" s="56">
        <v>0.26</v>
      </c>
      <c r="O73" s="18">
        <v>45896</v>
      </c>
      <c r="P73" s="19" t="s">
        <v>354</v>
      </c>
      <c r="Q73" s="19" t="s">
        <v>340</v>
      </c>
      <c r="R73" s="2">
        <v>5.2110000000000003</v>
      </c>
      <c r="S73" s="4">
        <v>0</v>
      </c>
      <c r="T73" s="2">
        <v>0</v>
      </c>
      <c r="U73" s="30">
        <v>1</v>
      </c>
      <c r="V73" s="3">
        <v>6.63</v>
      </c>
      <c r="W73" s="20">
        <f>(I73/IF(OR(D73="O",D73="CE"),100,1)*R73*(1+S73)+T73)*U73+V73</f>
        <v>3498.0000000000005</v>
      </c>
      <c r="X73" s="21" t="s">
        <v>354</v>
      </c>
      <c r="Y73" s="17" t="s">
        <v>340</v>
      </c>
      <c r="Z73" s="83" cm="1">
        <f t="array" aca="1" ref="Z73" ca="1">_FV(M73,"Price")</f>
        <v>5.2770000000000001</v>
      </c>
      <c r="AA73" s="32">
        <f>SUMIF(Operazioni!A:A,A73,Operazioni!C:C)</f>
        <v>0</v>
      </c>
      <c r="AB73" s="35">
        <f>INDEX(Valute!B:B,MATCH(J73,Valute!A:A,0))</f>
        <v>1.0000000018919131</v>
      </c>
      <c r="AC73" s="21">
        <f>SUMIF(Operazioni!A:A,A73,Operazioni!K:K)</f>
        <v>0</v>
      </c>
      <c r="AD73" s="21">
        <f t="shared" ca="1" si="23"/>
        <v>3535.590006689029</v>
      </c>
      <c r="AE73" s="38">
        <f t="shared" ca="1" si="24"/>
        <v>37.590006689028542</v>
      </c>
      <c r="AF73" s="76">
        <f t="shared" ca="1" si="25"/>
        <v>1.074614256404475E-2</v>
      </c>
      <c r="AO73" s="25">
        <f t="shared" si="26"/>
        <v>0</v>
      </c>
      <c r="AP73" s="25">
        <f t="shared" si="27"/>
        <v>0</v>
      </c>
      <c r="AQ73" s="25">
        <f t="shared" si="28"/>
        <v>-3498.0000000000005</v>
      </c>
      <c r="AR73" s="44">
        <f t="shared" si="29"/>
        <v>-1</v>
      </c>
      <c r="AS73" s="25">
        <f t="shared" si="30"/>
        <v>-909.48000000000013</v>
      </c>
      <c r="AT73" s="44">
        <f t="shared" si="31"/>
        <v>-0.74</v>
      </c>
    </row>
    <row r="74" spans="1:46" x14ac:dyDescent="0.25">
      <c r="A74" s="27">
        <v>71</v>
      </c>
      <c r="B74" s="27">
        <v>1</v>
      </c>
      <c r="C74" s="27" t="s">
        <v>407</v>
      </c>
      <c r="D74" s="27" t="s">
        <v>27</v>
      </c>
      <c r="E74" s="27" t="s">
        <v>273</v>
      </c>
      <c r="F74" s="27" t="s">
        <v>351</v>
      </c>
      <c r="G74" s="27"/>
      <c r="H74" s="27" t="s">
        <v>304</v>
      </c>
      <c r="I74" s="1">
        <v>8</v>
      </c>
      <c r="J74" s="27" t="s">
        <v>10</v>
      </c>
      <c r="K74" s="27" t="s">
        <v>408</v>
      </c>
      <c r="L74" s="27" t="s">
        <v>541</v>
      </c>
      <c r="M74" s="1" t="e" vm="19">
        <v>#VALUE!</v>
      </c>
      <c r="N74" s="56">
        <v>0.26</v>
      </c>
      <c r="O74" s="18">
        <v>45902</v>
      </c>
      <c r="P74" s="19" t="s">
        <v>354</v>
      </c>
      <c r="Q74" s="19" t="s">
        <v>340</v>
      </c>
      <c r="R74" s="2">
        <v>135.11000000000001</v>
      </c>
      <c r="S74" s="4">
        <v>0</v>
      </c>
      <c r="T74" s="2">
        <v>0</v>
      </c>
      <c r="U74" s="30">
        <v>1</v>
      </c>
      <c r="V74" s="3">
        <v>2.95</v>
      </c>
      <c r="W74" s="20">
        <f t="shared" ref="W74:W75" si="32">(I74/IF(OR(D74="O",D74="CE"),100,1)*R74*(1+S74)+T74)*U74+V74</f>
        <v>1083.8300000000002</v>
      </c>
      <c r="X74" s="21" t="s">
        <v>354</v>
      </c>
      <c r="Y74" s="17" t="s">
        <v>339</v>
      </c>
      <c r="Z74" s="83" cm="1">
        <f t="array" aca="1" ref="Z74" ca="1">_FV(M74,"Price")</f>
        <v>162.56</v>
      </c>
      <c r="AA74" s="32">
        <f>SUMIF(Operazioni!A:A,A74,Operazioni!C:C)</f>
        <v>0</v>
      </c>
      <c r="AB74" s="35">
        <f>INDEX(Valute!B:B,MATCH(J74,Valute!A:A,0))</f>
        <v>1.0000000018919131</v>
      </c>
      <c r="AC74" s="21">
        <f>SUMIF(Operazioni!A:A,A74,Operazioni!K:K)</f>
        <v>0</v>
      </c>
      <c r="AD74" s="21">
        <f t="shared" ca="1" si="23"/>
        <v>1300.4800024603951</v>
      </c>
      <c r="AE74" s="38">
        <f t="shared" ca="1" si="24"/>
        <v>216.65000246039494</v>
      </c>
      <c r="AF74" s="76">
        <f t="shared" ca="1" si="25"/>
        <v>0.19989297441517112</v>
      </c>
      <c r="AO74" s="25">
        <f t="shared" si="26"/>
        <v>0</v>
      </c>
      <c r="AP74" s="25">
        <f t="shared" si="27"/>
        <v>0</v>
      </c>
      <c r="AQ74" s="25">
        <f t="shared" si="28"/>
        <v>-1083.8300000000002</v>
      </c>
      <c r="AR74" s="44">
        <f t="shared" si="29"/>
        <v>-1</v>
      </c>
      <c r="AS74" s="25">
        <f t="shared" si="30"/>
        <v>-281.79580000000004</v>
      </c>
      <c r="AT74" s="44">
        <f t="shared" si="31"/>
        <v>-0.74</v>
      </c>
    </row>
    <row r="75" spans="1:46" x14ac:dyDescent="0.25">
      <c r="A75" s="27">
        <v>72</v>
      </c>
      <c r="B75" s="27">
        <v>1</v>
      </c>
      <c r="C75" s="27" t="s">
        <v>407</v>
      </c>
      <c r="D75" s="27" t="s">
        <v>27</v>
      </c>
      <c r="E75" s="27" t="s">
        <v>273</v>
      </c>
      <c r="F75" s="27" t="s">
        <v>351</v>
      </c>
      <c r="G75" s="27"/>
      <c r="H75" s="27" t="s">
        <v>304</v>
      </c>
      <c r="I75" s="1">
        <v>8</v>
      </c>
      <c r="J75" s="27" t="s">
        <v>10</v>
      </c>
      <c r="K75" s="27" t="s">
        <v>408</v>
      </c>
      <c r="L75" s="27" t="s">
        <v>541</v>
      </c>
      <c r="M75" s="1" t="e" vm="19">
        <v>#VALUE!</v>
      </c>
      <c r="N75" s="56">
        <v>0.26</v>
      </c>
      <c r="O75" s="18">
        <v>45931</v>
      </c>
      <c r="P75" s="19" t="s">
        <v>354</v>
      </c>
      <c r="Q75" s="19" t="s">
        <v>340</v>
      </c>
      <c r="R75" s="2">
        <v>140.02000000000001</v>
      </c>
      <c r="S75" s="4">
        <v>0</v>
      </c>
      <c r="T75" s="2">
        <v>0</v>
      </c>
      <c r="U75" s="30">
        <v>1</v>
      </c>
      <c r="V75" s="3">
        <v>2.95</v>
      </c>
      <c r="W75" s="20">
        <f t="shared" si="32"/>
        <v>1123.1100000000001</v>
      </c>
      <c r="X75" s="21" t="s">
        <v>354</v>
      </c>
      <c r="Y75" s="17" t="s">
        <v>339</v>
      </c>
      <c r="Z75" s="83" cm="1">
        <f t="array" aca="1" ref="Z75" ca="1">_FV(M75,"Price")</f>
        <v>162.56</v>
      </c>
      <c r="AA75" s="32">
        <f>SUMIF(Operazioni!A:A,A75,Operazioni!C:C)</f>
        <v>0</v>
      </c>
      <c r="AB75" s="35">
        <f>INDEX(Valute!B:B,MATCH(J75,Valute!A:A,0))</f>
        <v>1.0000000018919131</v>
      </c>
      <c r="AC75" s="21">
        <f>SUMIF(Operazioni!A:A,A75,Operazioni!K:K)</f>
        <v>0</v>
      </c>
      <c r="AD75" s="21">
        <f t="shared" ca="1" si="23"/>
        <v>1300.4800024603951</v>
      </c>
      <c r="AE75" s="38">
        <f t="shared" ca="1" si="24"/>
        <v>177.37000246039497</v>
      </c>
      <c r="AF75" s="76">
        <f t="shared" ca="1" si="25"/>
        <v>0.15792754268094394</v>
      </c>
      <c r="AO75" s="25">
        <f t="shared" si="26"/>
        <v>0</v>
      </c>
      <c r="AP75" s="25">
        <f t="shared" si="27"/>
        <v>0</v>
      </c>
      <c r="AQ75" s="25">
        <f t="shared" si="28"/>
        <v>-1123.1100000000001</v>
      </c>
      <c r="AR75" s="44">
        <f t="shared" si="29"/>
        <v>-1</v>
      </c>
      <c r="AS75" s="25">
        <f t="shared" si="30"/>
        <v>-292.00860000000006</v>
      </c>
      <c r="AT75" s="44">
        <f t="shared" si="31"/>
        <v>-0.73999999999999988</v>
      </c>
    </row>
    <row r="76" spans="1:46" x14ac:dyDescent="0.25">
      <c r="A76" s="27">
        <v>73</v>
      </c>
      <c r="B76" s="27">
        <v>1</v>
      </c>
      <c r="C76" s="27" t="s">
        <v>597</v>
      </c>
      <c r="D76" s="27" t="s">
        <v>29</v>
      </c>
      <c r="E76" s="27" t="s">
        <v>274</v>
      </c>
      <c r="F76" s="27" t="s">
        <v>276</v>
      </c>
      <c r="G76" s="27" t="s">
        <v>372</v>
      </c>
      <c r="H76" s="27" t="s">
        <v>276</v>
      </c>
      <c r="I76" s="1">
        <v>6000</v>
      </c>
      <c r="J76" s="27" t="s">
        <v>10</v>
      </c>
      <c r="K76" s="27" t="s">
        <v>598</v>
      </c>
      <c r="N76" s="56">
        <v>0.125</v>
      </c>
      <c r="O76" s="18">
        <v>45950</v>
      </c>
      <c r="P76" s="19" t="s">
        <v>354</v>
      </c>
      <c r="Q76" s="19" t="s">
        <v>339</v>
      </c>
      <c r="R76" s="2">
        <v>100</v>
      </c>
      <c r="S76" s="4">
        <v>0</v>
      </c>
      <c r="T76" s="2">
        <v>0</v>
      </c>
      <c r="U76" s="30">
        <v>1</v>
      </c>
      <c r="V76" s="3">
        <v>0</v>
      </c>
      <c r="W76" s="20">
        <f t="shared" si="22"/>
        <v>6000</v>
      </c>
      <c r="X76" s="21" t="s">
        <v>354</v>
      </c>
      <c r="Y76" s="17" t="s">
        <v>339</v>
      </c>
      <c r="Z76" s="90">
        <v>100</v>
      </c>
      <c r="AA76" s="32">
        <f>SUMIF(Operazioni!A:A,A76,Operazioni!C:C)</f>
        <v>0</v>
      </c>
      <c r="AB76" s="35">
        <f>INDEX(Valute!B:B,MATCH(J76,Valute!A:A,0))</f>
        <v>1.0000000018919131</v>
      </c>
      <c r="AC76" s="21">
        <f>SUMIF(Operazioni!A:A,A76,Operazioni!K:K)</f>
        <v>68.25</v>
      </c>
      <c r="AD76" s="21">
        <f t="shared" si="23"/>
        <v>6068.2500113514789</v>
      </c>
      <c r="AE76" s="38">
        <f t="shared" si="24"/>
        <v>68.250011351478861</v>
      </c>
      <c r="AF76" s="76">
        <f t="shared" si="25"/>
        <v>1.1375001891913143E-2</v>
      </c>
      <c r="AO76" s="25">
        <f t="shared" si="26"/>
        <v>59.71875</v>
      </c>
      <c r="AP76" s="25">
        <f t="shared" si="27"/>
        <v>68.25</v>
      </c>
      <c r="AQ76" s="25">
        <f t="shared" si="28"/>
        <v>-5931.75</v>
      </c>
      <c r="AR76" s="44">
        <f t="shared" si="29"/>
        <v>-0.98862499999999998</v>
      </c>
      <c r="AS76" s="25">
        <f t="shared" si="30"/>
        <v>-750</v>
      </c>
      <c r="AT76" s="44">
        <f t="shared" si="31"/>
        <v>-0.86362499999999998</v>
      </c>
    </row>
    <row r="77" spans="1:46" x14ac:dyDescent="0.25">
      <c r="A77" s="27">
        <v>74</v>
      </c>
      <c r="B77" s="27">
        <v>1</v>
      </c>
      <c r="C77" s="27" t="s">
        <v>407</v>
      </c>
      <c r="D77" s="27" t="s">
        <v>27</v>
      </c>
      <c r="E77" s="27" t="s">
        <v>273</v>
      </c>
      <c r="F77" s="27" t="s">
        <v>351</v>
      </c>
      <c r="G77" s="27"/>
      <c r="H77" s="27" t="s">
        <v>304</v>
      </c>
      <c r="I77" s="1">
        <v>8</v>
      </c>
      <c r="J77" s="27" t="s">
        <v>10</v>
      </c>
      <c r="K77" s="27" t="s">
        <v>408</v>
      </c>
      <c r="L77" s="27" t="s">
        <v>541</v>
      </c>
      <c r="M77" s="1" t="e" vm="19">
        <v>#VALUE!</v>
      </c>
      <c r="N77" s="56">
        <v>0.26</v>
      </c>
      <c r="O77" s="18">
        <v>45964</v>
      </c>
      <c r="P77" s="19" t="s">
        <v>354</v>
      </c>
      <c r="Q77" s="19" t="s">
        <v>339</v>
      </c>
      <c r="R77" s="2">
        <v>145.97</v>
      </c>
      <c r="S77" s="4">
        <v>0</v>
      </c>
      <c r="T77" s="2">
        <v>0</v>
      </c>
      <c r="U77" s="30">
        <v>1</v>
      </c>
      <c r="V77" s="3">
        <v>0</v>
      </c>
      <c r="W77" s="20">
        <f t="shared" si="22"/>
        <v>1167.76</v>
      </c>
      <c r="X77" s="21" t="s">
        <v>354</v>
      </c>
      <c r="Y77" s="17" t="s">
        <v>339</v>
      </c>
      <c r="Z77" s="83" cm="1">
        <f t="array" aca="1" ref="Z77" ca="1">_FV(M77,"Price")</f>
        <v>162.56</v>
      </c>
      <c r="AA77" s="32">
        <f>SUMIF(Operazioni!A:A,A77,Operazioni!C:C)</f>
        <v>0</v>
      </c>
      <c r="AB77" s="35">
        <f>INDEX(Valute!B:B,MATCH(J77,Valute!A:A,0))</f>
        <v>1.0000000018919131</v>
      </c>
      <c r="AC77" s="21">
        <f>SUMIF(Operazioni!A:A,A77,Operazioni!K:K)</f>
        <v>0</v>
      </c>
      <c r="AD77" s="21">
        <f t="shared" ca="1" si="23"/>
        <v>1300.4800024603951</v>
      </c>
      <c r="AE77" s="38">
        <f t="shared" ca="1" si="24"/>
        <v>132.72000246039511</v>
      </c>
      <c r="AF77" s="76">
        <f t="shared" ca="1" si="25"/>
        <v>0.11365349255017736</v>
      </c>
      <c r="AO77" s="25">
        <f t="shared" si="26"/>
        <v>0</v>
      </c>
      <c r="AP77" s="25">
        <f t="shared" si="27"/>
        <v>0</v>
      </c>
      <c r="AQ77" s="25">
        <f t="shared" si="28"/>
        <v>-1167.76</v>
      </c>
      <c r="AR77" s="44">
        <f t="shared" si="29"/>
        <v>-1</v>
      </c>
      <c r="AS77" s="25">
        <f t="shared" si="30"/>
        <v>-303.61759999999998</v>
      </c>
      <c r="AT77" s="44">
        <f t="shared" si="31"/>
        <v>-0.74</v>
      </c>
    </row>
    <row r="78" spans="1:46" x14ac:dyDescent="0.25">
      <c r="A78" s="27">
        <v>75</v>
      </c>
      <c r="B78" s="27">
        <v>1</v>
      </c>
      <c r="C78" s="27" t="s">
        <v>428</v>
      </c>
      <c r="D78" s="27" t="s">
        <v>27</v>
      </c>
      <c r="E78" s="27" t="s">
        <v>274</v>
      </c>
      <c r="F78" s="27" t="s">
        <v>306</v>
      </c>
      <c r="G78" s="27" t="s">
        <v>372</v>
      </c>
      <c r="H78" s="27" t="s">
        <v>365</v>
      </c>
      <c r="I78" s="1">
        <v>68</v>
      </c>
      <c r="J78" s="27" t="s">
        <v>10</v>
      </c>
      <c r="K78" s="27" t="s">
        <v>429</v>
      </c>
      <c r="L78" s="27" t="s">
        <v>540</v>
      </c>
      <c r="M78" s="1" t="e" vm="21">
        <v>#VALUE!</v>
      </c>
      <c r="N78" s="56">
        <v>0.125</v>
      </c>
      <c r="O78" s="18">
        <v>45992</v>
      </c>
      <c r="P78" s="19" t="s">
        <v>354</v>
      </c>
      <c r="Q78" s="19" t="s">
        <v>339</v>
      </c>
      <c r="R78" s="2">
        <v>147.79839999999999</v>
      </c>
      <c r="S78" s="4">
        <v>0</v>
      </c>
      <c r="T78" s="2">
        <v>0</v>
      </c>
      <c r="U78" s="30">
        <v>1</v>
      </c>
      <c r="V78" s="3">
        <v>0</v>
      </c>
      <c r="W78" s="20">
        <f t="shared" si="22"/>
        <v>10050.2912</v>
      </c>
      <c r="X78" s="21" t="s">
        <v>354</v>
      </c>
      <c r="Y78" s="17" t="s">
        <v>339</v>
      </c>
      <c r="Z78" s="83" cm="1">
        <f t="array" aca="1" ref="Z78" ca="1">_FV(M78,"Price")</f>
        <v>149.2184</v>
      </c>
      <c r="AA78" s="32">
        <f>SUMIF(Operazioni!A:A,A78,Operazioni!C:C)</f>
        <v>0</v>
      </c>
      <c r="AB78" s="35">
        <f>INDEX(Valute!B:B,MATCH(J78,Valute!A:A,0))</f>
        <v>1.0000000018919131</v>
      </c>
      <c r="AC78" s="21">
        <f>SUMIF(Operazioni!A:A,A78,Operazioni!K:K)</f>
        <v>0</v>
      </c>
      <c r="AD78" s="21">
        <f t="shared" ca="1" si="23"/>
        <v>10146.851219196962</v>
      </c>
      <c r="AE78" s="38">
        <f t="shared" ca="1" si="24"/>
        <v>96.560019196962457</v>
      </c>
      <c r="AF78" s="76">
        <f t="shared" ca="1" si="25"/>
        <v>9.6076837253195671E-3</v>
      </c>
      <c r="AO78" s="25">
        <f t="shared" si="26"/>
        <v>0</v>
      </c>
      <c r="AP78" s="25">
        <f t="shared" si="27"/>
        <v>0</v>
      </c>
      <c r="AQ78" s="25">
        <f t="shared" si="28"/>
        <v>-10050.2912</v>
      </c>
      <c r="AR78" s="44">
        <f t="shared" si="29"/>
        <v>-1</v>
      </c>
      <c r="AS78" s="25">
        <f t="shared" si="30"/>
        <v>-1256.2864</v>
      </c>
      <c r="AT78" s="44">
        <f t="shared" si="31"/>
        <v>-0.87499999999999989</v>
      </c>
    </row>
    <row r="79" spans="1:46" x14ac:dyDescent="0.25">
      <c r="A79" s="27">
        <v>76</v>
      </c>
      <c r="B79" s="27">
        <v>1</v>
      </c>
      <c r="C79" s="27" t="s">
        <v>602</v>
      </c>
      <c r="D79" s="27" t="s">
        <v>27</v>
      </c>
      <c r="E79" s="27" t="s">
        <v>274</v>
      </c>
      <c r="F79" s="27" t="s">
        <v>306</v>
      </c>
      <c r="G79" s="27" t="s">
        <v>372</v>
      </c>
      <c r="H79" s="27" t="s">
        <v>365</v>
      </c>
      <c r="I79" s="1">
        <v>58</v>
      </c>
      <c r="J79" s="27" t="s">
        <v>10</v>
      </c>
      <c r="K79" s="27" t="s">
        <v>603</v>
      </c>
      <c r="L79" s="27" t="s">
        <v>611</v>
      </c>
      <c r="M79" s="1" t="e" vm="27">
        <v>#VALUE!</v>
      </c>
      <c r="N79" s="56">
        <v>0.125</v>
      </c>
      <c r="O79" s="18">
        <v>45992</v>
      </c>
      <c r="P79" s="19" t="s">
        <v>354</v>
      </c>
      <c r="Q79" s="19" t="s">
        <v>339</v>
      </c>
      <c r="R79" s="2">
        <v>173.59289999999999</v>
      </c>
      <c r="S79" s="4">
        <v>0</v>
      </c>
      <c r="T79" s="2">
        <v>0</v>
      </c>
      <c r="U79" s="30">
        <v>1</v>
      </c>
      <c r="V79" s="3">
        <v>0</v>
      </c>
      <c r="W79" s="20">
        <f t="shared" si="22"/>
        <v>10068.388199999999</v>
      </c>
      <c r="X79" s="21" t="s">
        <v>354</v>
      </c>
      <c r="Y79" s="17" t="s">
        <v>339</v>
      </c>
      <c r="Z79" s="83" cm="1">
        <f t="array" aca="1" ref="Z79" ca="1">_FV(M79,"Price")</f>
        <v>173.95</v>
      </c>
      <c r="AA79" s="32">
        <f>SUMIF(Operazioni!A:A,A79,Operazioni!C:C)</f>
        <v>0</v>
      </c>
      <c r="AB79" s="35">
        <f>INDEX(Valute!B:B,MATCH(J79,Valute!A:A,0))</f>
        <v>1.0000000018919131</v>
      </c>
      <c r="AC79" s="21">
        <f>SUMIF(Operazioni!A:A,A79,Operazioni!K:K)</f>
        <v>0</v>
      </c>
      <c r="AD79" s="21">
        <f t="shared" ca="1" si="23"/>
        <v>10089.100019087698</v>
      </c>
      <c r="AE79" s="38">
        <f t="shared" ca="1" si="24"/>
        <v>20.711819087699041</v>
      </c>
      <c r="AF79" s="76">
        <f t="shared" ca="1" si="25"/>
        <v>2.0571136786024045E-3</v>
      </c>
      <c r="AO79" s="25">
        <f t="shared" si="26"/>
        <v>0</v>
      </c>
      <c r="AP79" s="25">
        <f t="shared" si="27"/>
        <v>0</v>
      </c>
      <c r="AQ79" s="25">
        <f t="shared" si="28"/>
        <v>-10068.388199999999</v>
      </c>
      <c r="AR79" s="44">
        <f t="shared" si="29"/>
        <v>-1</v>
      </c>
      <c r="AS79" s="25">
        <f t="shared" si="30"/>
        <v>-1258.5485249999999</v>
      </c>
      <c r="AT79" s="44">
        <f t="shared" si="31"/>
        <v>-0.875</v>
      </c>
    </row>
    <row r="80" spans="1:46" x14ac:dyDescent="0.25">
      <c r="A80" s="27">
        <v>77</v>
      </c>
      <c r="B80" s="27">
        <v>1</v>
      </c>
      <c r="C80" s="27" t="s">
        <v>604</v>
      </c>
      <c r="D80" s="27" t="s">
        <v>27</v>
      </c>
      <c r="E80" s="27" t="s">
        <v>274</v>
      </c>
      <c r="F80" s="27" t="s">
        <v>306</v>
      </c>
      <c r="G80" s="27" t="s">
        <v>372</v>
      </c>
      <c r="H80" s="27" t="s">
        <v>302</v>
      </c>
      <c r="I80" s="1">
        <v>66</v>
      </c>
      <c r="J80" s="27" t="s">
        <v>10</v>
      </c>
      <c r="K80" s="27" t="s">
        <v>605</v>
      </c>
      <c r="L80" s="27" t="s">
        <v>612</v>
      </c>
      <c r="M80" s="1" t="e" vm="28">
        <v>#VALUE!</v>
      </c>
      <c r="N80" s="56">
        <v>0.125</v>
      </c>
      <c r="O80" s="18">
        <v>45992</v>
      </c>
      <c r="P80" s="19" t="s">
        <v>354</v>
      </c>
      <c r="Q80" s="19" t="s">
        <v>339</v>
      </c>
      <c r="R80" s="2">
        <v>152.56</v>
      </c>
      <c r="S80" s="4">
        <v>0</v>
      </c>
      <c r="T80" s="2">
        <v>0</v>
      </c>
      <c r="U80" s="30">
        <v>1</v>
      </c>
      <c r="V80" s="3">
        <v>0</v>
      </c>
      <c r="W80" s="20">
        <f t="shared" si="22"/>
        <v>10068.960000000001</v>
      </c>
      <c r="X80" s="21" t="s">
        <v>354</v>
      </c>
      <c r="Y80" s="17" t="s">
        <v>339</v>
      </c>
      <c r="Z80" s="83" cm="1">
        <f t="array" aca="1" ref="Z80" ca="1">_FV(M80,"Price")</f>
        <v>152.32</v>
      </c>
      <c r="AA80" s="32">
        <f>SUMIF(Operazioni!A:A,A80,Operazioni!C:C)</f>
        <v>0</v>
      </c>
      <c r="AB80" s="35">
        <f>INDEX(Valute!B:B,MATCH(J80,Valute!A:A,0))</f>
        <v>1.0000000018919131</v>
      </c>
      <c r="AC80" s="21">
        <f>SUMIF(Operazioni!A:A,A80,Operazioni!K:K)</f>
        <v>0</v>
      </c>
      <c r="AD80" s="21">
        <f t="shared" ca="1" si="23"/>
        <v>10053.120019019629</v>
      </c>
      <c r="AE80" s="38">
        <f t="shared" ca="1" si="24"/>
        <v>-15.839980980372275</v>
      </c>
      <c r="AF80" s="76">
        <f t="shared" ca="1" si="25"/>
        <v>-1.573149657995689E-3</v>
      </c>
      <c r="AO80" s="25">
        <f t="shared" si="26"/>
        <v>0</v>
      </c>
      <c r="AP80" s="25">
        <f t="shared" si="27"/>
        <v>0</v>
      </c>
      <c r="AQ80" s="25">
        <f t="shared" si="28"/>
        <v>-10068.960000000001</v>
      </c>
      <c r="AR80" s="44">
        <f t="shared" si="29"/>
        <v>-1</v>
      </c>
      <c r="AS80" s="25">
        <f t="shared" si="30"/>
        <v>-1258.6200000000001</v>
      </c>
      <c r="AT80" s="44">
        <f t="shared" si="31"/>
        <v>-0.87499999999999989</v>
      </c>
    </row>
    <row r="81" spans="1:46" x14ac:dyDescent="0.25">
      <c r="A81" s="27">
        <v>78</v>
      </c>
      <c r="B81" s="27">
        <v>1</v>
      </c>
      <c r="C81" s="27" t="s">
        <v>606</v>
      </c>
      <c r="D81" s="27" t="s">
        <v>27</v>
      </c>
      <c r="E81" s="27" t="s">
        <v>273</v>
      </c>
      <c r="F81" s="27" t="s">
        <v>607</v>
      </c>
      <c r="G81" s="27"/>
      <c r="H81" s="27" t="s">
        <v>365</v>
      </c>
      <c r="I81" s="1">
        <v>292</v>
      </c>
      <c r="J81" s="27" t="s">
        <v>10</v>
      </c>
      <c r="K81" s="27" t="s">
        <v>608</v>
      </c>
      <c r="L81" s="27" t="s">
        <v>613</v>
      </c>
      <c r="M81" s="1" t="e" vm="29">
        <v>#VALUE!</v>
      </c>
      <c r="N81" s="56">
        <v>0.26</v>
      </c>
      <c r="O81" s="18">
        <v>45992</v>
      </c>
      <c r="P81" s="19" t="s">
        <v>354</v>
      </c>
      <c r="Q81" s="19" t="s">
        <v>339</v>
      </c>
      <c r="R81" s="2">
        <v>34.295000000000002</v>
      </c>
      <c r="S81" s="4">
        <v>0</v>
      </c>
      <c r="T81" s="2">
        <v>0</v>
      </c>
      <c r="U81" s="30">
        <v>1</v>
      </c>
      <c r="V81" s="3">
        <v>0</v>
      </c>
      <c r="W81" s="20">
        <f t="shared" si="22"/>
        <v>10014.140000000001</v>
      </c>
      <c r="X81" s="21" t="s">
        <v>354</v>
      </c>
      <c r="Y81" s="17" t="s">
        <v>339</v>
      </c>
      <c r="Z81" s="83" cm="1">
        <f t="array" aca="1" ref="Z81" ca="1">_FV(M81,"Price")</f>
        <v>38.67</v>
      </c>
      <c r="AA81" s="32">
        <f>SUMIF(Operazioni!A:A,A81,Operazioni!C:C)</f>
        <v>0</v>
      </c>
      <c r="AB81" s="35">
        <f>INDEX(Valute!B:B,MATCH(J81,Valute!A:A,0))</f>
        <v>1.0000000018919131</v>
      </c>
      <c r="AC81" s="21">
        <f>SUMIF(Operazioni!A:A,A81,Operazioni!K:K)</f>
        <v>0</v>
      </c>
      <c r="AD81" s="21">
        <f t="shared" ca="1" si="23"/>
        <v>11291.640021362802</v>
      </c>
      <c r="AE81" s="38">
        <f t="shared" ca="1" si="24"/>
        <v>1277.5000213628009</v>
      </c>
      <c r="AF81" s="76">
        <f t="shared" ca="1" si="25"/>
        <v>0.12756961869544473</v>
      </c>
      <c r="AO81" s="25">
        <f t="shared" si="26"/>
        <v>0</v>
      </c>
      <c r="AP81" s="25">
        <f t="shared" si="27"/>
        <v>0</v>
      </c>
      <c r="AQ81" s="25">
        <f t="shared" si="28"/>
        <v>-10014.140000000001</v>
      </c>
      <c r="AR81" s="44">
        <f t="shared" si="29"/>
        <v>-1</v>
      </c>
      <c r="AS81" s="25">
        <f t="shared" si="30"/>
        <v>-2603.6764000000003</v>
      </c>
      <c r="AT81" s="44">
        <f t="shared" si="31"/>
        <v>-0.74</v>
      </c>
    </row>
    <row r="82" spans="1:46" x14ac:dyDescent="0.25">
      <c r="A82" s="27">
        <v>79</v>
      </c>
      <c r="B82" s="27">
        <v>1</v>
      </c>
      <c r="C82" s="27" t="s">
        <v>609</v>
      </c>
      <c r="D82" s="27" t="s">
        <v>27</v>
      </c>
      <c r="E82" s="27" t="s">
        <v>273</v>
      </c>
      <c r="F82" s="27" t="s">
        <v>306</v>
      </c>
      <c r="G82" s="27"/>
      <c r="H82" s="27" t="s">
        <v>352</v>
      </c>
      <c r="I82" s="1">
        <v>46</v>
      </c>
      <c r="J82" s="27" t="s">
        <v>10</v>
      </c>
      <c r="K82" s="27" t="s">
        <v>610</v>
      </c>
      <c r="L82" s="27" t="s">
        <v>614</v>
      </c>
      <c r="M82" s="1" t="e" vm="30">
        <v>#VALUE!</v>
      </c>
      <c r="N82" s="56">
        <v>0.26</v>
      </c>
      <c r="O82" s="18">
        <v>45992</v>
      </c>
      <c r="P82" s="19" t="s">
        <v>354</v>
      </c>
      <c r="Q82" s="19" t="s">
        <v>339</v>
      </c>
      <c r="R82" s="2">
        <v>213.25</v>
      </c>
      <c r="S82" s="4">
        <v>0</v>
      </c>
      <c r="T82" s="2">
        <v>0</v>
      </c>
      <c r="U82" s="30">
        <v>1</v>
      </c>
      <c r="V82" s="3">
        <v>19</v>
      </c>
      <c r="W82" s="20">
        <f t="shared" si="22"/>
        <v>9828.5</v>
      </c>
      <c r="X82" s="21" t="s">
        <v>354</v>
      </c>
      <c r="Y82" s="17" t="s">
        <v>339</v>
      </c>
      <c r="Z82" s="83" cm="1">
        <f t="array" aca="1" ref="Z82" ca="1">_FV(M82,"Price")</f>
        <v>238.18</v>
      </c>
      <c r="AA82" s="32">
        <f>SUMIF(Operazioni!A:A,A82,Operazioni!C:C)</f>
        <v>0</v>
      </c>
      <c r="AB82" s="35">
        <f>INDEX(Valute!B:B,MATCH(J82,Valute!A:A,0))</f>
        <v>1.0000000018919131</v>
      </c>
      <c r="AC82" s="21">
        <f>SUMIF(Operazioni!A:A,A82,Operazioni!K:K)</f>
        <v>0</v>
      </c>
      <c r="AD82" s="21">
        <f t="shared" ca="1" si="23"/>
        <v>10956.280020728331</v>
      </c>
      <c r="AE82" s="38">
        <f t="shared" ca="1" si="24"/>
        <v>1127.7800207283308</v>
      </c>
      <c r="AF82" s="76">
        <f t="shared" ca="1" si="25"/>
        <v>0.11474589415763654</v>
      </c>
      <c r="AO82" s="25">
        <f t="shared" si="26"/>
        <v>0</v>
      </c>
      <c r="AP82" s="25">
        <f t="shared" si="27"/>
        <v>0</v>
      </c>
      <c r="AQ82" s="25">
        <f t="shared" si="28"/>
        <v>-9828.5</v>
      </c>
      <c r="AR82" s="44">
        <f t="shared" si="29"/>
        <v>-1</v>
      </c>
      <c r="AS82" s="25">
        <f t="shared" si="30"/>
        <v>-2555.4100000000003</v>
      </c>
      <c r="AT82" s="44">
        <f t="shared" si="31"/>
        <v>-0.74</v>
      </c>
    </row>
    <row r="83" spans="1:46" x14ac:dyDescent="0.25">
      <c r="A83" s="27">
        <v>80</v>
      </c>
      <c r="B83" s="27">
        <v>1</v>
      </c>
      <c r="C83" s="27" t="s">
        <v>407</v>
      </c>
      <c r="D83" s="27" t="s">
        <v>27</v>
      </c>
      <c r="E83" s="27" t="s">
        <v>273</v>
      </c>
      <c r="F83" s="27" t="s">
        <v>351</v>
      </c>
      <c r="G83" s="27"/>
      <c r="H83" s="27" t="s">
        <v>304</v>
      </c>
      <c r="I83" s="1">
        <v>8</v>
      </c>
      <c r="J83" s="27" t="s">
        <v>10</v>
      </c>
      <c r="K83" s="27" t="s">
        <v>408</v>
      </c>
      <c r="L83" s="27" t="s">
        <v>541</v>
      </c>
      <c r="M83" s="1" t="e" vm="19">
        <v>#VALUE!</v>
      </c>
      <c r="N83" s="56">
        <v>0.26</v>
      </c>
      <c r="O83" s="18">
        <v>45992</v>
      </c>
      <c r="P83" s="19" t="s">
        <v>354</v>
      </c>
      <c r="Q83" s="19" t="s">
        <v>339</v>
      </c>
      <c r="R83" s="2">
        <v>144.11559299999999</v>
      </c>
      <c r="S83" s="4">
        <v>0</v>
      </c>
      <c r="T83" s="2">
        <v>0</v>
      </c>
      <c r="U83" s="30">
        <v>1</v>
      </c>
      <c r="V83" s="3">
        <v>2.95</v>
      </c>
      <c r="W83" s="20">
        <f t="shared" si="22"/>
        <v>1155.874744</v>
      </c>
      <c r="X83" s="21" t="s">
        <v>354</v>
      </c>
      <c r="Y83" s="17" t="s">
        <v>339</v>
      </c>
      <c r="Z83" s="83" cm="1">
        <f t="array" aca="1" ref="Z83" ca="1">_FV(M83,"Price")</f>
        <v>162.56</v>
      </c>
      <c r="AA83" s="32">
        <f>SUMIF(Operazioni!A:A,A83,Operazioni!C:C)</f>
        <v>0</v>
      </c>
      <c r="AB83" s="35">
        <f>INDEX(Valute!B:B,MATCH(J83,Valute!A:A,0))</f>
        <v>1.0000000018919131</v>
      </c>
      <c r="AC83" s="21">
        <f>SUMIF(Operazioni!A:A,A83,Operazioni!K:K)</f>
        <v>0</v>
      </c>
      <c r="AD83" s="21">
        <f t="shared" ca="1" si="23"/>
        <v>1300.4800024603951</v>
      </c>
      <c r="AE83" s="38">
        <f t="shared" ca="1" si="24"/>
        <v>144.60525846039513</v>
      </c>
      <c r="AF83" s="76">
        <f t="shared" ca="1" si="25"/>
        <v>0.125104609483876</v>
      </c>
      <c r="AO83" s="25">
        <f t="shared" si="26"/>
        <v>0</v>
      </c>
      <c r="AP83" s="25">
        <f t="shared" si="27"/>
        <v>0</v>
      </c>
      <c r="AQ83" s="25">
        <f t="shared" si="28"/>
        <v>-1155.874744</v>
      </c>
      <c r="AR83" s="44">
        <f t="shared" si="29"/>
        <v>-1</v>
      </c>
      <c r="AS83" s="25">
        <f t="shared" si="30"/>
        <v>-300.52743343999998</v>
      </c>
      <c r="AT83" s="44">
        <f t="shared" si="31"/>
        <v>-0.74</v>
      </c>
    </row>
    <row r="84" spans="1:46" x14ac:dyDescent="0.25">
      <c r="A84" s="27">
        <v>81</v>
      </c>
      <c r="B84" s="27">
        <v>1</v>
      </c>
      <c r="C84" s="27" t="s">
        <v>407</v>
      </c>
      <c r="D84" s="27" t="s">
        <v>27</v>
      </c>
      <c r="E84" s="27" t="s">
        <v>273</v>
      </c>
      <c r="F84" s="27" t="s">
        <v>351</v>
      </c>
      <c r="G84" s="27"/>
      <c r="H84" s="27" t="s">
        <v>304</v>
      </c>
      <c r="I84" s="1">
        <v>8</v>
      </c>
      <c r="J84" s="27" t="s">
        <v>10</v>
      </c>
      <c r="K84" s="27" t="s">
        <v>408</v>
      </c>
      <c r="L84" s="27" t="s">
        <v>541</v>
      </c>
      <c r="M84" s="1" t="e" vm="19">
        <v>#VALUE!</v>
      </c>
      <c r="N84" s="56">
        <v>0.26</v>
      </c>
      <c r="O84" s="18">
        <v>45662</v>
      </c>
      <c r="P84" s="19" t="s">
        <v>354</v>
      </c>
      <c r="Q84" s="19" t="s">
        <v>339</v>
      </c>
      <c r="R84" s="2">
        <v>146.94</v>
      </c>
      <c r="S84" s="4">
        <v>0</v>
      </c>
      <c r="T84" s="2">
        <v>0</v>
      </c>
      <c r="U84" s="30">
        <v>1</v>
      </c>
      <c r="V84" s="3">
        <v>2.95</v>
      </c>
      <c r="W84" s="20">
        <f t="shared" si="22"/>
        <v>1178.47</v>
      </c>
      <c r="X84" s="21" t="s">
        <v>354</v>
      </c>
      <c r="Y84" s="17" t="s">
        <v>339</v>
      </c>
      <c r="Z84" s="83" cm="1">
        <f t="array" aca="1" ref="Z84" ca="1">_FV(M84,"Price")</f>
        <v>162.56</v>
      </c>
      <c r="AA84" s="32">
        <f>SUMIF(Operazioni!A:A,A84,Operazioni!C:C)</f>
        <v>0</v>
      </c>
      <c r="AB84" s="35">
        <f>INDEX(Valute!B:B,MATCH(J84,Valute!A:A,0))</f>
        <v>1.0000000018919131</v>
      </c>
      <c r="AC84" s="21">
        <f>SUMIF(Operazioni!A:A,A84,Operazioni!K:K)</f>
        <v>0</v>
      </c>
      <c r="AD84" s="21">
        <f t="shared" ca="1" si="23"/>
        <v>1300.4800024603951</v>
      </c>
      <c r="AE84" s="38">
        <f t="shared" ca="1" si="24"/>
        <v>122.01000246039507</v>
      </c>
      <c r="AF84" s="76">
        <f t="shared" ca="1" si="25"/>
        <v>0.10353254852511737</v>
      </c>
      <c r="AO84" s="25">
        <f t="shared" si="26"/>
        <v>0</v>
      </c>
      <c r="AP84" s="25">
        <f t="shared" si="27"/>
        <v>0</v>
      </c>
      <c r="AQ84" s="25">
        <f t="shared" si="28"/>
        <v>-1178.47</v>
      </c>
      <c r="AR84" s="44">
        <f t="shared" si="29"/>
        <v>-1</v>
      </c>
      <c r="AS84" s="25">
        <f t="shared" si="30"/>
        <v>-306.40219999999999</v>
      </c>
      <c r="AT84" s="44">
        <f t="shared" si="31"/>
        <v>-0.74</v>
      </c>
    </row>
    <row r="85" spans="1:46" x14ac:dyDescent="0.25">
      <c r="A85" s="27">
        <v>82</v>
      </c>
      <c r="B85" s="27">
        <v>1</v>
      </c>
      <c r="C85" s="27" t="s">
        <v>407</v>
      </c>
      <c r="D85" s="27" t="s">
        <v>27</v>
      </c>
      <c r="E85" s="27" t="s">
        <v>273</v>
      </c>
      <c r="F85" s="27" t="s">
        <v>351</v>
      </c>
      <c r="G85" s="27"/>
      <c r="H85" s="27" t="s">
        <v>304</v>
      </c>
      <c r="I85" s="1">
        <v>7</v>
      </c>
      <c r="J85" s="27" t="s">
        <v>10</v>
      </c>
      <c r="K85" s="27" t="s">
        <v>408</v>
      </c>
      <c r="L85" s="27" t="s">
        <v>541</v>
      </c>
      <c r="M85" s="1" t="e" vm="19">
        <v>#VALUE!</v>
      </c>
      <c r="N85" s="56">
        <v>0.26</v>
      </c>
      <c r="O85" s="18">
        <v>46055</v>
      </c>
      <c r="P85" s="19" t="s">
        <v>354</v>
      </c>
      <c r="Q85" s="19" t="s">
        <v>339</v>
      </c>
      <c r="R85" s="2">
        <v>148.04</v>
      </c>
      <c r="S85" s="4">
        <v>0</v>
      </c>
      <c r="T85" s="2">
        <v>0</v>
      </c>
      <c r="U85" s="30">
        <v>1</v>
      </c>
      <c r="V85" s="3">
        <v>2.95</v>
      </c>
      <c r="W85" s="20">
        <f t="shared" si="22"/>
        <v>1039.23</v>
      </c>
      <c r="X85" s="21" t="s">
        <v>354</v>
      </c>
      <c r="Y85" s="17" t="s">
        <v>339</v>
      </c>
      <c r="Z85" s="83" cm="1">
        <f t="array" aca="1" ref="Z85" ca="1">_FV(M85,"Price")</f>
        <v>162.56</v>
      </c>
      <c r="AA85" s="32">
        <f>SUMIF(Operazioni!A:A,A85,Operazioni!C:C)</f>
        <v>0</v>
      </c>
      <c r="AB85" s="35">
        <f>INDEX(Valute!B:B,MATCH(J85,Valute!A:A,0))</f>
        <v>1.0000000018919131</v>
      </c>
      <c r="AC85" s="21">
        <f>SUMIF(Operazioni!A:A,A85,Operazioni!K:K)</f>
        <v>0</v>
      </c>
      <c r="AD85" s="21">
        <f t="shared" ca="1" si="23"/>
        <v>1137.9200021528459</v>
      </c>
      <c r="AE85" s="38">
        <f t="shared" ca="1" si="24"/>
        <v>98.690002152845864</v>
      </c>
      <c r="AF85" s="76">
        <f t="shared" ca="1" si="25"/>
        <v>9.4964543126012393E-2</v>
      </c>
      <c r="AO85" s="25">
        <f t="shared" si="26"/>
        <v>0</v>
      </c>
      <c r="AP85" s="25">
        <f t="shared" si="27"/>
        <v>0</v>
      </c>
      <c r="AQ85" s="25">
        <f t="shared" si="28"/>
        <v>-1039.23</v>
      </c>
      <c r="AR85" s="44">
        <f t="shared" si="29"/>
        <v>-1</v>
      </c>
      <c r="AS85" s="25">
        <f t="shared" si="30"/>
        <v>-270.19980000000004</v>
      </c>
      <c r="AT85" s="44">
        <f t="shared" si="31"/>
        <v>-0.73999999999999988</v>
      </c>
    </row>
    <row r="86" spans="1:46" x14ac:dyDescent="0.25">
      <c r="A86" s="27">
        <v>83</v>
      </c>
      <c r="B86" s="27">
        <v>1</v>
      </c>
      <c r="C86" s="27" t="s">
        <v>615</v>
      </c>
      <c r="D86" s="27" t="s">
        <v>29</v>
      </c>
      <c r="E86" s="27" t="s">
        <v>274</v>
      </c>
      <c r="F86" s="27" t="s">
        <v>276</v>
      </c>
      <c r="G86" s="27" t="s">
        <v>372</v>
      </c>
      <c r="H86" s="27" t="s">
        <v>276</v>
      </c>
      <c r="I86" s="1">
        <v>6000</v>
      </c>
      <c r="J86" s="27" t="s">
        <v>10</v>
      </c>
      <c r="K86" s="27" t="s">
        <v>616</v>
      </c>
      <c r="N86" s="56">
        <v>0.125</v>
      </c>
      <c r="O86" s="18">
        <v>46083</v>
      </c>
      <c r="P86" s="19" t="s">
        <v>354</v>
      </c>
      <c r="Q86" s="19" t="s">
        <v>339</v>
      </c>
      <c r="R86" s="2">
        <v>100</v>
      </c>
      <c r="S86" s="4">
        <v>0</v>
      </c>
      <c r="T86" s="2">
        <v>0</v>
      </c>
      <c r="U86" s="30">
        <v>1</v>
      </c>
      <c r="V86" s="3">
        <v>0</v>
      </c>
      <c r="W86" s="20">
        <f t="shared" si="22"/>
        <v>6000</v>
      </c>
      <c r="X86" s="21" t="s">
        <v>354</v>
      </c>
      <c r="Y86" s="17" t="s">
        <v>339</v>
      </c>
      <c r="Z86" s="90">
        <v>100</v>
      </c>
      <c r="AA86" s="32">
        <f>SUMIF(Operazioni!A:A,A86,Operazioni!C:C)</f>
        <v>0</v>
      </c>
      <c r="AB86" s="35">
        <f>INDEX(Valute!B:B,MATCH(J86,Valute!A:A,0))</f>
        <v>1.0000000018919131</v>
      </c>
      <c r="AC86" s="21">
        <f>SUMIF(Operazioni!A:A,A86,Operazioni!K:K)</f>
        <v>0</v>
      </c>
      <c r="AD86" s="21">
        <f t="shared" si="23"/>
        <v>6000.0000113514789</v>
      </c>
      <c r="AE86" s="38">
        <f t="shared" si="24"/>
        <v>1.1351478860888164E-5</v>
      </c>
      <c r="AF86" s="76">
        <f t="shared" si="25"/>
        <v>1.8919131434813607E-9</v>
      </c>
      <c r="AO86" s="25">
        <f t="shared" si="26"/>
        <v>0</v>
      </c>
      <c r="AP86" s="25">
        <f t="shared" si="27"/>
        <v>0</v>
      </c>
      <c r="AQ86" s="25">
        <f t="shared" si="28"/>
        <v>-6000</v>
      </c>
      <c r="AR86" s="44">
        <f t="shared" si="29"/>
        <v>-1</v>
      </c>
      <c r="AS86" s="25">
        <f t="shared" si="30"/>
        <v>-750</v>
      </c>
      <c r="AT86" s="44">
        <f t="shared" si="31"/>
        <v>-0.875</v>
      </c>
    </row>
    <row r="87" spans="1:46" x14ac:dyDescent="0.25">
      <c r="A87" s="27">
        <v>84</v>
      </c>
      <c r="B87" s="27">
        <v>1</v>
      </c>
      <c r="C87" s="27" t="s">
        <v>407</v>
      </c>
      <c r="D87" s="27" t="s">
        <v>27</v>
      </c>
      <c r="E87" s="27" t="s">
        <v>273</v>
      </c>
      <c r="F87" s="27" t="s">
        <v>351</v>
      </c>
      <c r="G87" s="27"/>
      <c r="H87" s="27" t="s">
        <v>304</v>
      </c>
      <c r="I87" s="1">
        <v>7</v>
      </c>
      <c r="J87" s="27" t="s">
        <v>10</v>
      </c>
      <c r="K87" s="27" t="s">
        <v>408</v>
      </c>
      <c r="L87" s="27" t="s">
        <v>541</v>
      </c>
      <c r="M87" s="1" t="e" vm="19">
        <v>#VALUE!</v>
      </c>
      <c r="N87" s="56">
        <v>0.26</v>
      </c>
      <c r="O87" s="18">
        <v>46083</v>
      </c>
      <c r="P87" s="19" t="s">
        <v>354</v>
      </c>
      <c r="Q87" s="19" t="s">
        <v>339</v>
      </c>
      <c r="R87" s="2">
        <v>149.69999999999999</v>
      </c>
      <c r="S87" s="4">
        <v>0</v>
      </c>
      <c r="T87" s="2">
        <v>0</v>
      </c>
      <c r="U87" s="30">
        <v>1</v>
      </c>
      <c r="V87" s="3">
        <v>2.95</v>
      </c>
      <c r="W87" s="20">
        <f t="shared" si="22"/>
        <v>1050.8499999999999</v>
      </c>
      <c r="X87" s="21" t="s">
        <v>354</v>
      </c>
      <c r="Y87" s="17" t="s">
        <v>339</v>
      </c>
      <c r="Z87" s="83" cm="1">
        <f t="array" aca="1" ref="Z87" ca="1">_FV(M87,"Price")</f>
        <v>162.56</v>
      </c>
      <c r="AA87" s="32">
        <f>SUMIF(Operazioni!A:A,A87,Operazioni!C:C)</f>
        <v>0</v>
      </c>
      <c r="AB87" s="35">
        <f>INDEX(Valute!B:B,MATCH(J87,Valute!A:A,0))</f>
        <v>1.0000000018919131</v>
      </c>
      <c r="AC87" s="21">
        <f>SUMIF(Operazioni!A:A,A87,Operazioni!K:K)</f>
        <v>0</v>
      </c>
      <c r="AD87" s="21">
        <f t="shared" ca="1" si="23"/>
        <v>1137.9200021528459</v>
      </c>
      <c r="AE87" s="38">
        <f t="shared" ca="1" si="24"/>
        <v>87.070002152845973</v>
      </c>
      <c r="AF87" s="76">
        <f t="shared" ca="1" si="25"/>
        <v>8.2856737072699221E-2</v>
      </c>
      <c r="AO87" s="25">
        <f t="shared" si="26"/>
        <v>0</v>
      </c>
      <c r="AP87" s="25">
        <f t="shared" si="27"/>
        <v>0</v>
      </c>
      <c r="AQ87" s="25">
        <f t="shared" si="28"/>
        <v>-1050.8499999999999</v>
      </c>
      <c r="AR87" s="44">
        <f t="shared" si="29"/>
        <v>-1</v>
      </c>
      <c r="AS87" s="25">
        <f t="shared" si="30"/>
        <v>-273.221</v>
      </c>
      <c r="AT87" s="44">
        <f t="shared" si="31"/>
        <v>-0.74</v>
      </c>
    </row>
    <row r="88" spans="1:46" x14ac:dyDescent="0.25">
      <c r="A88" s="1">
        <v>85</v>
      </c>
      <c r="B88" s="27">
        <v>1</v>
      </c>
      <c r="C88" s="27" t="s">
        <v>407</v>
      </c>
      <c r="D88" s="27" t="s">
        <v>27</v>
      </c>
      <c r="E88" s="27" t="s">
        <v>273</v>
      </c>
      <c r="F88" s="27" t="s">
        <v>351</v>
      </c>
      <c r="G88" s="27"/>
      <c r="H88" s="27" t="s">
        <v>304</v>
      </c>
      <c r="I88" s="1">
        <v>7</v>
      </c>
      <c r="J88" s="27" t="s">
        <v>10</v>
      </c>
      <c r="K88" s="27" t="s">
        <v>408</v>
      </c>
      <c r="L88" s="27" t="s">
        <v>541</v>
      </c>
      <c r="M88" s="1" t="e" vm="19">
        <v>#VALUE!</v>
      </c>
      <c r="N88" s="56">
        <v>0.26</v>
      </c>
      <c r="O88" s="18">
        <v>46113</v>
      </c>
      <c r="P88" s="19" t="s">
        <v>354</v>
      </c>
      <c r="Q88" s="19" t="s">
        <v>339</v>
      </c>
      <c r="R88" s="2">
        <v>144.38999999999999</v>
      </c>
      <c r="S88" s="4">
        <v>0</v>
      </c>
      <c r="T88" s="2">
        <v>0</v>
      </c>
      <c r="U88" s="30">
        <v>1</v>
      </c>
      <c r="V88" s="3">
        <v>2.95</v>
      </c>
      <c r="W88" s="20">
        <f t="shared" si="22"/>
        <v>1013.68</v>
      </c>
      <c r="X88" s="21" t="s">
        <v>354</v>
      </c>
      <c r="Y88" s="17" t="s">
        <v>339</v>
      </c>
      <c r="Z88" s="83" cm="1">
        <f t="array" aca="1" ref="Z88" ca="1">_FV(M88,"Price")</f>
        <v>162.56</v>
      </c>
      <c r="AA88" s="32">
        <f>SUMIF(Operazioni!A:A,A88,Operazioni!C:C)</f>
        <v>0</v>
      </c>
      <c r="AB88" s="35">
        <f>INDEX(Valute!B:B,MATCH(J88,Valute!A:A,0))</f>
        <v>1.0000000018919131</v>
      </c>
      <c r="AC88" s="21">
        <f>SUMIF(Operazioni!A:A,A88,Operazioni!K:K)</f>
        <v>0</v>
      </c>
      <c r="AD88" s="21">
        <f t="shared" ca="1" si="23"/>
        <v>1137.9200021528459</v>
      </c>
      <c r="AE88" s="38">
        <f t="shared" ca="1" si="24"/>
        <v>124.24000215284593</v>
      </c>
      <c r="AF88" s="76">
        <f t="shared" ca="1" si="25"/>
        <v>0.12256333572019369</v>
      </c>
      <c r="AO88" s="25">
        <f t="shared" si="26"/>
        <v>0</v>
      </c>
      <c r="AP88" s="25">
        <f t="shared" si="27"/>
        <v>0</v>
      </c>
      <c r="AQ88" s="25">
        <f t="shared" si="28"/>
        <v>-1013.68</v>
      </c>
      <c r="AR88" s="44">
        <f t="shared" si="29"/>
        <v>-1</v>
      </c>
      <c r="AS88" s="25">
        <f t="shared" si="30"/>
        <v>-263.55680000000001</v>
      </c>
      <c r="AT88" s="44">
        <f t="shared" si="31"/>
        <v>-0.74</v>
      </c>
    </row>
    <row r="89" spans="1:46" x14ac:dyDescent="0.25">
      <c r="A89" s="1">
        <v>86</v>
      </c>
      <c r="B89" s="27">
        <v>1</v>
      </c>
      <c r="C89" s="27" t="s">
        <v>407</v>
      </c>
      <c r="D89" s="27" t="s">
        <v>27</v>
      </c>
      <c r="E89" s="27" t="s">
        <v>273</v>
      </c>
      <c r="F89" s="27" t="s">
        <v>351</v>
      </c>
      <c r="G89" s="27"/>
      <c r="H89" s="27" t="s">
        <v>304</v>
      </c>
      <c r="I89" s="1">
        <v>7</v>
      </c>
      <c r="J89" s="27" t="s">
        <v>10</v>
      </c>
      <c r="K89" s="27" t="s">
        <v>408</v>
      </c>
      <c r="L89" s="27" t="s">
        <v>541</v>
      </c>
      <c r="M89" s="1" t="e" vm="19">
        <v>#VALUE!</v>
      </c>
      <c r="N89" s="56">
        <v>0.26</v>
      </c>
      <c r="O89" s="18">
        <v>46147</v>
      </c>
      <c r="P89" s="19" t="s">
        <v>354</v>
      </c>
      <c r="Q89" s="19" t="s">
        <v>339</v>
      </c>
      <c r="R89" s="2">
        <v>155.87</v>
      </c>
      <c r="S89" s="4">
        <v>0</v>
      </c>
      <c r="T89" s="2">
        <v>0</v>
      </c>
      <c r="U89" s="30">
        <v>1</v>
      </c>
      <c r="V89" s="3">
        <v>2.95</v>
      </c>
      <c r="W89" s="20">
        <f t="shared" si="22"/>
        <v>1094.0400000000002</v>
      </c>
      <c r="X89" s="21" t="s">
        <v>354</v>
      </c>
      <c r="Y89" s="17" t="s">
        <v>339</v>
      </c>
      <c r="Z89" s="83" cm="1">
        <f t="array" aca="1" ref="Z89" ca="1">_FV(M89,"Price")</f>
        <v>162.56</v>
      </c>
      <c r="AA89" s="32">
        <f>SUMIF(Operazioni!A:A,A89,Operazioni!C:C)</f>
        <v>0</v>
      </c>
      <c r="AB89" s="35">
        <f>INDEX(Valute!B:B,MATCH(J89,Valute!A:A,0))</f>
        <v>1.0000000018919131</v>
      </c>
      <c r="AC89" s="21">
        <f>SUMIF(Operazioni!A:A,A89,Operazioni!K:K)</f>
        <v>0</v>
      </c>
      <c r="AD89" s="21">
        <f t="shared" ca="1" si="23"/>
        <v>1137.9200021528459</v>
      </c>
      <c r="AE89" s="38">
        <f t="shared" ca="1" si="24"/>
        <v>43.880002152845691</v>
      </c>
      <c r="AF89" s="76">
        <f t="shared" ca="1" si="25"/>
        <v>4.0108224701880808E-2</v>
      </c>
      <c r="AO89" s="25">
        <f t="shared" si="26"/>
        <v>0</v>
      </c>
      <c r="AP89" s="25">
        <f t="shared" si="27"/>
        <v>0</v>
      </c>
      <c r="AQ89" s="25">
        <f t="shared" si="28"/>
        <v>-1094.0400000000002</v>
      </c>
      <c r="AR89" s="44">
        <f t="shared" si="29"/>
        <v>-1</v>
      </c>
      <c r="AS89" s="25">
        <f t="shared" si="30"/>
        <v>-284.45040000000006</v>
      </c>
      <c r="AT89" s="44">
        <f t="shared" si="31"/>
        <v>-0.74</v>
      </c>
    </row>
    <row r="90" spans="1:46" x14ac:dyDescent="0.25">
      <c r="G90" s="27"/>
      <c r="H90" s="27"/>
      <c r="N90" s="56"/>
      <c r="T90" s="19"/>
      <c r="W90" s="20">
        <f t="shared" si="22"/>
        <v>0</v>
      </c>
      <c r="AA90" s="32">
        <f>SUMIF(Operazioni!A:A,A90,Operazioni!C:C)</f>
        <v>0</v>
      </c>
      <c r="AB90" s="35" t="e">
        <f>INDEX(Valute!B:B,MATCH(J90,Valute!A:A,0))</f>
        <v>#N/A</v>
      </c>
      <c r="AC90" s="21">
        <f>SUMIF(Operazioni!A:A,A90,Operazioni!K:K)</f>
        <v>0</v>
      </c>
      <c r="AD90" s="21" t="e">
        <f t="shared" si="23"/>
        <v>#N/A</v>
      </c>
      <c r="AE90" s="38" t="e">
        <f t="shared" si="24"/>
        <v>#N/A</v>
      </c>
      <c r="AF90" s="76" t="str">
        <f t="shared" si="25"/>
        <v/>
      </c>
      <c r="AO90" s="25">
        <f t="shared" si="26"/>
        <v>0</v>
      </c>
      <c r="AP90" s="25">
        <f t="shared" si="27"/>
        <v>0</v>
      </c>
      <c r="AQ90" s="25">
        <f t="shared" si="28"/>
        <v>0</v>
      </c>
      <c r="AR90" s="44" t="str">
        <f t="shared" si="29"/>
        <v/>
      </c>
      <c r="AS90" s="25">
        <f t="shared" si="30"/>
        <v>0</v>
      </c>
      <c r="AT90" s="44" t="str">
        <f t="shared" si="31"/>
        <v/>
      </c>
    </row>
    <row r="91" spans="1:46" x14ac:dyDescent="0.25">
      <c r="G91" s="27"/>
      <c r="H91" s="27"/>
      <c r="N91" s="56"/>
      <c r="T91" s="19"/>
      <c r="W91" s="20">
        <f t="shared" si="22"/>
        <v>0</v>
      </c>
      <c r="AA91" s="32">
        <f>SUMIF(Operazioni!A:A,A91,Operazioni!C:C)</f>
        <v>0</v>
      </c>
      <c r="AB91" s="35" t="e">
        <f>INDEX(Valute!B:B,MATCH(J91,Valute!A:A,0))</f>
        <v>#N/A</v>
      </c>
      <c r="AC91" s="21">
        <f>SUMIF(Operazioni!A:A,A91,Operazioni!K:K)</f>
        <v>0</v>
      </c>
      <c r="AD91" s="21" t="e">
        <f t="shared" si="23"/>
        <v>#N/A</v>
      </c>
      <c r="AE91" s="38" t="e">
        <f t="shared" si="24"/>
        <v>#N/A</v>
      </c>
      <c r="AF91" s="76" t="str">
        <f t="shared" si="25"/>
        <v/>
      </c>
      <c r="AO91" s="25">
        <f t="shared" si="26"/>
        <v>0</v>
      </c>
      <c r="AP91" s="25">
        <f t="shared" si="27"/>
        <v>0</v>
      </c>
      <c r="AQ91" s="25">
        <f t="shared" si="28"/>
        <v>0</v>
      </c>
      <c r="AR91" s="44" t="str">
        <f t="shared" si="29"/>
        <v/>
      </c>
      <c r="AS91" s="25">
        <f t="shared" si="30"/>
        <v>0</v>
      </c>
      <c r="AT91" s="44" t="str">
        <f t="shared" si="31"/>
        <v/>
      </c>
    </row>
    <row r="92" spans="1:46" x14ac:dyDescent="0.25">
      <c r="G92" s="27"/>
      <c r="H92" s="27"/>
      <c r="N92" s="56"/>
      <c r="T92" s="19"/>
      <c r="W92" s="20">
        <f t="shared" si="22"/>
        <v>0</v>
      </c>
      <c r="AA92" s="32">
        <f>SUMIF(Operazioni!A:A,A92,Operazioni!C:C)</f>
        <v>0</v>
      </c>
      <c r="AB92" s="35" t="e">
        <f>INDEX(Valute!B:B,MATCH(J92,Valute!A:A,0))</f>
        <v>#N/A</v>
      </c>
      <c r="AC92" s="21">
        <f>SUMIF(Operazioni!A:A,A92,Operazioni!K:K)</f>
        <v>0</v>
      </c>
      <c r="AD92" s="21" t="e">
        <f t="shared" si="23"/>
        <v>#N/A</v>
      </c>
      <c r="AE92" s="38" t="e">
        <f t="shared" si="24"/>
        <v>#N/A</v>
      </c>
      <c r="AF92" s="76" t="str">
        <f t="shared" si="25"/>
        <v/>
      </c>
      <c r="AO92" s="25">
        <f t="shared" si="26"/>
        <v>0</v>
      </c>
      <c r="AP92" s="25">
        <f t="shared" si="27"/>
        <v>0</v>
      </c>
      <c r="AQ92" s="25">
        <f t="shared" si="28"/>
        <v>0</v>
      </c>
      <c r="AR92" s="44" t="str">
        <f t="shared" si="29"/>
        <v/>
      </c>
      <c r="AS92" s="25">
        <f t="shared" si="30"/>
        <v>0</v>
      </c>
      <c r="AT92" s="44" t="str">
        <f t="shared" si="31"/>
        <v/>
      </c>
    </row>
    <row r="93" spans="1:46" x14ac:dyDescent="0.25">
      <c r="G93" s="27"/>
      <c r="H93" s="27"/>
      <c r="N93" s="56"/>
      <c r="T93" s="19"/>
      <c r="W93" s="20">
        <f t="shared" si="22"/>
        <v>0</v>
      </c>
      <c r="AA93" s="32">
        <f>SUMIF(Operazioni!A:A,A93,Operazioni!C:C)</f>
        <v>0</v>
      </c>
      <c r="AB93" s="35" t="e">
        <f>INDEX(Valute!B:B,MATCH(J93,Valute!A:A,0))</f>
        <v>#N/A</v>
      </c>
      <c r="AC93" s="21">
        <f>SUMIF(Operazioni!A:A,A93,Operazioni!K:K)</f>
        <v>0</v>
      </c>
      <c r="AD93" s="21" t="e">
        <f t="shared" si="23"/>
        <v>#N/A</v>
      </c>
      <c r="AE93" s="38" t="e">
        <f t="shared" si="24"/>
        <v>#N/A</v>
      </c>
      <c r="AF93" s="76" t="str">
        <f t="shared" si="25"/>
        <v/>
      </c>
      <c r="AO93" s="25">
        <f t="shared" si="26"/>
        <v>0</v>
      </c>
      <c r="AP93" s="25">
        <f t="shared" si="27"/>
        <v>0</v>
      </c>
      <c r="AQ93" s="25">
        <f t="shared" si="28"/>
        <v>0</v>
      </c>
      <c r="AR93" s="44" t="str">
        <f t="shared" si="29"/>
        <v/>
      </c>
      <c r="AS93" s="25">
        <f t="shared" si="30"/>
        <v>0</v>
      </c>
      <c r="AT93" s="44" t="str">
        <f t="shared" si="31"/>
        <v/>
      </c>
    </row>
    <row r="94" spans="1:46" x14ac:dyDescent="0.25">
      <c r="G94" s="27"/>
      <c r="H94" s="27"/>
      <c r="N94" s="56"/>
      <c r="T94" s="19"/>
      <c r="W94" s="20">
        <f t="shared" si="22"/>
        <v>0</v>
      </c>
      <c r="AA94" s="32">
        <f>SUMIF(Operazioni!A:A,A94,Operazioni!C:C)</f>
        <v>0</v>
      </c>
      <c r="AB94" s="35" t="e">
        <f>INDEX(Valute!B:B,MATCH(J94,Valute!A:A,0))</f>
        <v>#N/A</v>
      </c>
      <c r="AC94" s="21">
        <f>SUMIF(Operazioni!A:A,A94,Operazioni!K:K)</f>
        <v>0</v>
      </c>
      <c r="AD94" s="21" t="e">
        <f t="shared" si="23"/>
        <v>#N/A</v>
      </c>
      <c r="AE94" s="38" t="e">
        <f t="shared" si="24"/>
        <v>#N/A</v>
      </c>
      <c r="AF94" s="76" t="str">
        <f t="shared" si="25"/>
        <v/>
      </c>
      <c r="AO94" s="25">
        <f t="shared" si="26"/>
        <v>0</v>
      </c>
      <c r="AP94" s="25">
        <f t="shared" si="27"/>
        <v>0</v>
      </c>
      <c r="AQ94" s="25">
        <f t="shared" si="28"/>
        <v>0</v>
      </c>
      <c r="AR94" s="44" t="str">
        <f t="shared" si="29"/>
        <v/>
      </c>
      <c r="AS94" s="25">
        <f t="shared" si="30"/>
        <v>0</v>
      </c>
      <c r="AT94" s="44" t="str">
        <f t="shared" si="31"/>
        <v/>
      </c>
    </row>
    <row r="95" spans="1:46" x14ac:dyDescent="0.25">
      <c r="G95" s="27"/>
      <c r="H95" s="27"/>
      <c r="N95" s="56"/>
      <c r="T95" s="19"/>
      <c r="W95" s="20">
        <f t="shared" si="22"/>
        <v>0</v>
      </c>
      <c r="AA95" s="32">
        <f>SUMIF(Operazioni!A:A,A95,Operazioni!C:C)</f>
        <v>0</v>
      </c>
      <c r="AB95" s="35" t="e">
        <f>INDEX(Valute!B:B,MATCH(J95,Valute!A:A,0))</f>
        <v>#N/A</v>
      </c>
      <c r="AC95" s="21">
        <f>SUMIF(Operazioni!A:A,A95,Operazioni!K:K)</f>
        <v>0</v>
      </c>
      <c r="AD95" s="21" t="e">
        <f t="shared" si="23"/>
        <v>#N/A</v>
      </c>
      <c r="AE95" s="38" t="e">
        <f t="shared" si="24"/>
        <v>#N/A</v>
      </c>
      <c r="AF95" s="76" t="str">
        <f t="shared" si="25"/>
        <v/>
      </c>
      <c r="AO95" s="25">
        <f t="shared" si="26"/>
        <v>0</v>
      </c>
      <c r="AP95" s="25">
        <f t="shared" si="27"/>
        <v>0</v>
      </c>
      <c r="AQ95" s="25">
        <f t="shared" si="28"/>
        <v>0</v>
      </c>
      <c r="AR95" s="44" t="str">
        <f t="shared" si="29"/>
        <v/>
      </c>
      <c r="AS95" s="25">
        <f t="shared" si="30"/>
        <v>0</v>
      </c>
      <c r="AT95" s="44" t="str">
        <f t="shared" si="31"/>
        <v/>
      </c>
    </row>
    <row r="96" spans="1:46" x14ac:dyDescent="0.25">
      <c r="G96" s="27"/>
      <c r="H96" s="27"/>
      <c r="N96" s="56"/>
      <c r="T96" s="19"/>
      <c r="W96" s="20">
        <f t="shared" si="22"/>
        <v>0</v>
      </c>
      <c r="AA96" s="32">
        <f>SUMIF(Operazioni!A:A,A96,Operazioni!C:C)</f>
        <v>0</v>
      </c>
      <c r="AB96" s="35" t="e">
        <f>INDEX(Valute!B:B,MATCH(J96,Valute!A:A,0))</f>
        <v>#N/A</v>
      </c>
      <c r="AC96" s="21">
        <f>SUMIF(Operazioni!A:A,A96,Operazioni!K:K)</f>
        <v>0</v>
      </c>
      <c r="AD96" s="21" t="e">
        <f t="shared" si="23"/>
        <v>#N/A</v>
      </c>
      <c r="AE96" s="38" t="e">
        <f t="shared" si="24"/>
        <v>#N/A</v>
      </c>
      <c r="AF96" s="76" t="str">
        <f t="shared" si="25"/>
        <v/>
      </c>
      <c r="AO96" s="25">
        <f t="shared" si="26"/>
        <v>0</v>
      </c>
      <c r="AP96" s="25">
        <f t="shared" si="27"/>
        <v>0</v>
      </c>
      <c r="AQ96" s="25">
        <f t="shared" si="28"/>
        <v>0</v>
      </c>
      <c r="AR96" s="44" t="str">
        <f t="shared" si="29"/>
        <v/>
      </c>
      <c r="AS96" s="25">
        <f t="shared" si="30"/>
        <v>0</v>
      </c>
      <c r="AT96" s="44" t="str">
        <f t="shared" si="31"/>
        <v/>
      </c>
    </row>
    <row r="97" spans="7:46" x14ac:dyDescent="0.25">
      <c r="G97" s="27"/>
      <c r="H97" s="27"/>
      <c r="N97" s="56"/>
      <c r="T97" s="19"/>
      <c r="W97" s="20">
        <f t="shared" si="22"/>
        <v>0</v>
      </c>
      <c r="AA97" s="32">
        <f>SUMIF(Operazioni!A:A,A97,Operazioni!C:C)</f>
        <v>0</v>
      </c>
      <c r="AB97" s="35" t="e">
        <f>INDEX(Valute!B:B,MATCH(J97,Valute!A:A,0))</f>
        <v>#N/A</v>
      </c>
      <c r="AC97" s="21">
        <f>SUMIF(Operazioni!A:A,A97,Operazioni!K:K)</f>
        <v>0</v>
      </c>
      <c r="AD97" s="21" t="e">
        <f t="shared" si="23"/>
        <v>#N/A</v>
      </c>
      <c r="AE97" s="38" t="e">
        <f t="shared" si="24"/>
        <v>#N/A</v>
      </c>
      <c r="AF97" s="76" t="str">
        <f t="shared" si="25"/>
        <v/>
      </c>
      <c r="AO97" s="25">
        <f t="shared" si="26"/>
        <v>0</v>
      </c>
      <c r="AP97" s="25">
        <f t="shared" si="27"/>
        <v>0</v>
      </c>
      <c r="AQ97" s="25">
        <f t="shared" si="28"/>
        <v>0</v>
      </c>
      <c r="AR97" s="44" t="str">
        <f t="shared" si="29"/>
        <v/>
      </c>
      <c r="AS97" s="25">
        <f t="shared" si="30"/>
        <v>0</v>
      </c>
      <c r="AT97" s="44" t="str">
        <f t="shared" si="31"/>
        <v/>
      </c>
    </row>
    <row r="98" spans="7:46" x14ac:dyDescent="0.25">
      <c r="G98" s="27"/>
      <c r="H98" s="27"/>
      <c r="N98" s="56"/>
      <c r="T98" s="19"/>
      <c r="W98" s="20">
        <f t="shared" si="22"/>
        <v>0</v>
      </c>
      <c r="AA98" s="32">
        <f>SUMIF(Operazioni!A:A,A98,Operazioni!C:C)</f>
        <v>0</v>
      </c>
      <c r="AB98" s="35" t="e">
        <f>INDEX(Valute!B:B,MATCH(J98,Valute!A:A,0))</f>
        <v>#N/A</v>
      </c>
      <c r="AC98" s="21">
        <f>SUMIF(Operazioni!A:A,A98,Operazioni!K:K)</f>
        <v>0</v>
      </c>
      <c r="AD98" s="21" t="e">
        <f t="shared" si="23"/>
        <v>#N/A</v>
      </c>
      <c r="AE98" s="38" t="e">
        <f t="shared" si="24"/>
        <v>#N/A</v>
      </c>
      <c r="AF98" s="76" t="str">
        <f t="shared" si="25"/>
        <v/>
      </c>
      <c r="AO98" s="25">
        <f t="shared" si="26"/>
        <v>0</v>
      </c>
      <c r="AP98" s="25">
        <f t="shared" si="27"/>
        <v>0</v>
      </c>
      <c r="AQ98" s="25">
        <f t="shared" si="28"/>
        <v>0</v>
      </c>
      <c r="AR98" s="44" t="str">
        <f t="shared" si="29"/>
        <v/>
      </c>
      <c r="AS98" s="25">
        <f t="shared" si="30"/>
        <v>0</v>
      </c>
      <c r="AT98" s="44" t="str">
        <f t="shared" si="31"/>
        <v/>
      </c>
    </row>
    <row r="99" spans="7:46" x14ac:dyDescent="0.25">
      <c r="G99" s="27"/>
      <c r="H99" s="27"/>
      <c r="N99" s="56"/>
      <c r="T99" s="19"/>
      <c r="W99" s="20">
        <f t="shared" si="22"/>
        <v>0</v>
      </c>
      <c r="AA99" s="32">
        <f>SUMIF(Operazioni!A:A,A99,Operazioni!C:C)</f>
        <v>0</v>
      </c>
      <c r="AB99" s="35" t="e">
        <f>INDEX(Valute!B:B,MATCH(J99,Valute!A:A,0))</f>
        <v>#N/A</v>
      </c>
      <c r="AC99" s="21">
        <f>SUMIF(Operazioni!A:A,A99,Operazioni!K:K)</f>
        <v>0</v>
      </c>
      <c r="AD99" s="21" t="e">
        <f t="shared" si="23"/>
        <v>#N/A</v>
      </c>
      <c r="AE99" s="38" t="e">
        <f t="shared" si="24"/>
        <v>#N/A</v>
      </c>
      <c r="AF99" s="76" t="str">
        <f t="shared" si="25"/>
        <v/>
      </c>
      <c r="AO99" s="25">
        <f t="shared" si="26"/>
        <v>0</v>
      </c>
      <c r="AP99" s="25">
        <f t="shared" si="27"/>
        <v>0</v>
      </c>
      <c r="AQ99" s="25">
        <f t="shared" si="28"/>
        <v>0</v>
      </c>
      <c r="AR99" s="44" t="str">
        <f t="shared" si="29"/>
        <v/>
      </c>
      <c r="AS99" s="25">
        <f t="shared" si="30"/>
        <v>0</v>
      </c>
      <c r="AT99" s="44" t="str">
        <f t="shared" si="31"/>
        <v/>
      </c>
    </row>
    <row r="100" spans="7:46" x14ac:dyDescent="0.25">
      <c r="G100" s="27"/>
      <c r="H100" s="27"/>
      <c r="N100" s="56"/>
      <c r="T100" s="19"/>
      <c r="W100" s="20">
        <f t="shared" si="22"/>
        <v>0</v>
      </c>
      <c r="AA100" s="32">
        <f>SUMIF(Operazioni!A:A,A100,Operazioni!C:C)</f>
        <v>0</v>
      </c>
      <c r="AB100" s="35" t="e">
        <f>INDEX(Valute!B:B,MATCH(J100,Valute!A:A,0))</f>
        <v>#N/A</v>
      </c>
      <c r="AC100" s="21">
        <f>SUMIF(Operazioni!A:A,A100,Operazioni!K:K)</f>
        <v>0</v>
      </c>
      <c r="AD100" s="21" t="e">
        <f t="shared" si="23"/>
        <v>#N/A</v>
      </c>
      <c r="AE100" s="38" t="e">
        <f t="shared" si="24"/>
        <v>#N/A</v>
      </c>
      <c r="AF100" s="76" t="str">
        <f t="shared" si="25"/>
        <v/>
      </c>
      <c r="AO100" s="25">
        <f t="shared" si="26"/>
        <v>0</v>
      </c>
      <c r="AP100" s="25">
        <f t="shared" si="27"/>
        <v>0</v>
      </c>
      <c r="AQ100" s="25">
        <f t="shared" si="28"/>
        <v>0</v>
      </c>
      <c r="AR100" s="44" t="str">
        <f t="shared" si="29"/>
        <v/>
      </c>
      <c r="AS100" s="25">
        <f t="shared" si="30"/>
        <v>0</v>
      </c>
      <c r="AT100" s="44" t="str">
        <f t="shared" si="31"/>
        <v/>
      </c>
    </row>
    <row r="101" spans="7:46" x14ac:dyDescent="0.25">
      <c r="G101" s="27"/>
      <c r="H101" s="27"/>
      <c r="N101" s="56"/>
      <c r="T101" s="19"/>
      <c r="W101" s="20">
        <f t="shared" si="22"/>
        <v>0</v>
      </c>
      <c r="AA101" s="32">
        <f>SUMIF(Operazioni!A:A,A101,Operazioni!C:C)</f>
        <v>0</v>
      </c>
      <c r="AB101" s="35" t="e">
        <f>INDEX(Valute!B:B,MATCH(J101,Valute!A:A,0))</f>
        <v>#N/A</v>
      </c>
      <c r="AC101" s="21">
        <f>SUMIF(Operazioni!A:A,A101,Operazioni!K:K)</f>
        <v>0</v>
      </c>
      <c r="AD101" s="21" t="e">
        <f t="shared" si="23"/>
        <v>#N/A</v>
      </c>
      <c r="AE101" s="38" t="e">
        <f t="shared" si="24"/>
        <v>#N/A</v>
      </c>
      <c r="AF101" s="76" t="str">
        <f t="shared" si="25"/>
        <v/>
      </c>
      <c r="AO101" s="25">
        <f t="shared" si="26"/>
        <v>0</v>
      </c>
      <c r="AP101" s="25">
        <f t="shared" si="27"/>
        <v>0</v>
      </c>
      <c r="AQ101" s="25">
        <f t="shared" si="28"/>
        <v>0</v>
      </c>
      <c r="AR101" s="44" t="str">
        <f t="shared" si="29"/>
        <v/>
      </c>
      <c r="AS101" s="25">
        <f t="shared" si="30"/>
        <v>0</v>
      </c>
      <c r="AT101" s="44" t="str">
        <f t="shared" si="31"/>
        <v/>
      </c>
    </row>
    <row r="102" spans="7:46" x14ac:dyDescent="0.25">
      <c r="G102" s="27"/>
      <c r="N102" s="56"/>
      <c r="T102" s="19"/>
      <c r="W102" s="20">
        <f t="shared" si="22"/>
        <v>0</v>
      </c>
      <c r="AA102" s="32">
        <f>SUMIF(Operazioni!A:A,A102,Operazioni!C:C)</f>
        <v>0</v>
      </c>
      <c r="AB102" s="35" t="e">
        <f>INDEX(Valute!B:B,MATCH(J102,Valute!A:A,0))</f>
        <v>#N/A</v>
      </c>
      <c r="AC102" s="21">
        <f>SUMIF(Operazioni!A:A,A102,Operazioni!K:K)</f>
        <v>0</v>
      </c>
      <c r="AD102" s="21" t="e">
        <f t="shared" si="23"/>
        <v>#N/A</v>
      </c>
      <c r="AE102" s="38" t="e">
        <f t="shared" si="24"/>
        <v>#N/A</v>
      </c>
      <c r="AF102" s="76" t="str">
        <f t="shared" si="25"/>
        <v/>
      </c>
      <c r="AO102" s="25">
        <f t="shared" si="26"/>
        <v>0</v>
      </c>
      <c r="AP102" s="25">
        <f t="shared" si="27"/>
        <v>0</v>
      </c>
      <c r="AQ102" s="25">
        <f t="shared" si="28"/>
        <v>0</v>
      </c>
      <c r="AR102" s="44" t="str">
        <f t="shared" si="29"/>
        <v/>
      </c>
      <c r="AS102" s="25">
        <f t="shared" si="30"/>
        <v>0</v>
      </c>
      <c r="AT102" s="44" t="str">
        <f t="shared" si="31"/>
        <v/>
      </c>
    </row>
    <row r="103" spans="7:46" x14ac:dyDescent="0.25">
      <c r="G103" s="27"/>
      <c r="N103" s="56"/>
      <c r="T103" s="19"/>
      <c r="W103" s="20">
        <f t="shared" si="22"/>
        <v>0</v>
      </c>
      <c r="AA103" s="32">
        <f>SUMIF(Operazioni!A:A,A103,Operazioni!C:C)</f>
        <v>0</v>
      </c>
      <c r="AB103" s="35" t="e">
        <f>INDEX(Valute!B:B,MATCH(J103,Valute!A:A,0))</f>
        <v>#N/A</v>
      </c>
      <c r="AC103" s="21">
        <f>SUMIF(Operazioni!A:A,A103,Operazioni!K:K)</f>
        <v>0</v>
      </c>
      <c r="AD103" s="21" t="e">
        <f t="shared" si="23"/>
        <v>#N/A</v>
      </c>
      <c r="AE103" s="38" t="e">
        <f t="shared" si="24"/>
        <v>#N/A</v>
      </c>
      <c r="AF103" s="76" t="str">
        <f t="shared" si="25"/>
        <v/>
      </c>
      <c r="AO103" s="25">
        <f t="shared" si="26"/>
        <v>0</v>
      </c>
      <c r="AP103" s="25">
        <f t="shared" si="27"/>
        <v>0</v>
      </c>
      <c r="AQ103" s="25">
        <f t="shared" si="28"/>
        <v>0</v>
      </c>
      <c r="AR103" s="44" t="str">
        <f t="shared" si="29"/>
        <v/>
      </c>
      <c r="AS103" s="25">
        <f t="shared" si="30"/>
        <v>0</v>
      </c>
      <c r="AT103" s="44" t="str">
        <f t="shared" si="31"/>
        <v/>
      </c>
    </row>
    <row r="104" spans="7:46" x14ac:dyDescent="0.25">
      <c r="G104" s="27"/>
      <c r="N104" s="56"/>
      <c r="T104" s="19"/>
      <c r="W104" s="20">
        <f t="shared" ref="W104:W123" si="33">(I104/IF(OR(D104="O",D104="CE"),100,1)*R104*(1+S104)+T104)*U104+V104</f>
        <v>0</v>
      </c>
      <c r="AA104" s="32">
        <f>SUMIF(Operazioni!A:A,A104,Operazioni!C:C)</f>
        <v>0</v>
      </c>
      <c r="AB104" s="35" t="e">
        <f>INDEX(Valute!B:B,MATCH(J104,Valute!A:A,0))</f>
        <v>#N/A</v>
      </c>
      <c r="AC104" s="21">
        <f>SUMIF(Operazioni!A:A,A104,Operazioni!K:K)</f>
        <v>0</v>
      </c>
      <c r="AD104" s="21" t="e">
        <f t="shared" ref="AD104:AD123" si="34">((I104+AA104)/IF(OR(D104="O",D104="CE"),100,1)*Z104)*AB104+AC104</f>
        <v>#N/A</v>
      </c>
      <c r="AE104" s="38" t="e">
        <f t="shared" ref="AE104:AE123" si="35">AD104-W104</f>
        <v>#N/A</v>
      </c>
      <c r="AF104" s="76" t="str">
        <f t="shared" ref="AF104:AF123" si="36">IF(W104&lt;&gt;0,AE104/W104,"")</f>
        <v/>
      </c>
      <c r="AO104" s="25">
        <f t="shared" si="26"/>
        <v>0</v>
      </c>
      <c r="AP104" s="25">
        <f t="shared" ref="AP104:AP123" si="37">((I104+AA104)/IF(OR(D104="O",D104="CE"),100,1)*AJ104*(1-AK104)-AL104)*AM104-AN104+AC104</f>
        <v>0</v>
      </c>
      <c r="AQ104" s="25">
        <f t="shared" ref="AQ104:AQ123" si="38">AP104-W104</f>
        <v>0</v>
      </c>
      <c r="AR104" s="44" t="str">
        <f t="shared" ref="AR104:AR123" si="39">IF(W104&lt;&gt;0,AQ104/W104,"")</f>
        <v/>
      </c>
      <c r="AS104" s="25">
        <f t="shared" ref="AS104:AS123" si="40">(AQ104-AC104)*N104</f>
        <v>0</v>
      </c>
      <c r="AT104" s="44" t="str">
        <f t="shared" ref="AT104:AT123" si="41">IF(W104&lt;&gt;0,(AQ104-AS104)/W104,"")</f>
        <v/>
      </c>
    </row>
    <row r="105" spans="7:46" x14ac:dyDescent="0.25">
      <c r="N105" s="56"/>
      <c r="T105" s="19"/>
      <c r="W105" s="20">
        <f t="shared" si="33"/>
        <v>0</v>
      </c>
      <c r="AA105" s="32">
        <f>SUMIF(Operazioni!A:A,A105,Operazioni!C:C)</f>
        <v>0</v>
      </c>
      <c r="AB105" s="35" t="e">
        <f>INDEX(Valute!B:B,MATCH(J105,Valute!A:A,0))</f>
        <v>#N/A</v>
      </c>
      <c r="AC105" s="21">
        <f>SUMIF(Operazioni!A:A,A105,Operazioni!K:K)</f>
        <v>0</v>
      </c>
      <c r="AD105" s="21" t="e">
        <f t="shared" si="34"/>
        <v>#N/A</v>
      </c>
      <c r="AE105" s="38" t="e">
        <f t="shared" si="35"/>
        <v>#N/A</v>
      </c>
      <c r="AF105" s="76" t="str">
        <f t="shared" si="36"/>
        <v/>
      </c>
      <c r="AO105" s="25">
        <f t="shared" si="26"/>
        <v>0</v>
      </c>
      <c r="AP105" s="25">
        <f t="shared" si="37"/>
        <v>0</v>
      </c>
      <c r="AQ105" s="25">
        <f t="shared" si="38"/>
        <v>0</v>
      </c>
      <c r="AR105" s="44" t="str">
        <f t="shared" si="39"/>
        <v/>
      </c>
      <c r="AS105" s="25">
        <f t="shared" si="40"/>
        <v>0</v>
      </c>
      <c r="AT105" s="44" t="str">
        <f t="shared" si="41"/>
        <v/>
      </c>
    </row>
    <row r="106" spans="7:46" x14ac:dyDescent="0.25">
      <c r="N106" s="56"/>
      <c r="T106" s="19"/>
      <c r="W106" s="20">
        <f t="shared" si="33"/>
        <v>0</v>
      </c>
      <c r="AA106" s="32">
        <f>SUMIF(Operazioni!A:A,A106,Operazioni!C:C)</f>
        <v>0</v>
      </c>
      <c r="AB106" s="35" t="e">
        <f>INDEX(Valute!B:B,MATCH(J106,Valute!A:A,0))</f>
        <v>#N/A</v>
      </c>
      <c r="AC106" s="21">
        <f>SUMIF(Operazioni!A:A,A106,Operazioni!K:K)</f>
        <v>0</v>
      </c>
      <c r="AD106" s="21" t="e">
        <f t="shared" si="34"/>
        <v>#N/A</v>
      </c>
      <c r="AE106" s="38" t="e">
        <f t="shared" si="35"/>
        <v>#N/A</v>
      </c>
      <c r="AF106" s="76" t="str">
        <f t="shared" si="36"/>
        <v/>
      </c>
      <c r="AO106" s="25">
        <f t="shared" si="26"/>
        <v>0</v>
      </c>
      <c r="AP106" s="25">
        <f t="shared" si="37"/>
        <v>0</v>
      </c>
      <c r="AQ106" s="25">
        <f t="shared" si="38"/>
        <v>0</v>
      </c>
      <c r="AR106" s="44" t="str">
        <f t="shared" si="39"/>
        <v/>
      </c>
      <c r="AS106" s="25">
        <f t="shared" si="40"/>
        <v>0</v>
      </c>
      <c r="AT106" s="44" t="str">
        <f t="shared" si="41"/>
        <v/>
      </c>
    </row>
    <row r="107" spans="7:46" x14ac:dyDescent="0.25">
      <c r="N107" s="56"/>
      <c r="W107" s="20">
        <f t="shared" si="33"/>
        <v>0</v>
      </c>
      <c r="AA107" s="32">
        <f>SUMIF(Operazioni!A:A,A107,Operazioni!C:C)</f>
        <v>0</v>
      </c>
      <c r="AB107" s="35" t="e">
        <f>INDEX(Valute!B:B,MATCH(J107,Valute!A:A,0))</f>
        <v>#N/A</v>
      </c>
      <c r="AC107" s="21">
        <f>SUMIF(Operazioni!A:A,A107,Operazioni!K:K)</f>
        <v>0</v>
      </c>
      <c r="AD107" s="21" t="e">
        <f t="shared" si="34"/>
        <v>#N/A</v>
      </c>
      <c r="AE107" s="38" t="e">
        <f t="shared" si="35"/>
        <v>#N/A</v>
      </c>
      <c r="AF107" s="76" t="str">
        <f t="shared" si="36"/>
        <v/>
      </c>
      <c r="AO107" s="25">
        <f t="shared" si="26"/>
        <v>0</v>
      </c>
      <c r="AP107" s="25">
        <f t="shared" si="37"/>
        <v>0</v>
      </c>
      <c r="AQ107" s="25">
        <f t="shared" si="38"/>
        <v>0</v>
      </c>
      <c r="AR107" s="44" t="str">
        <f t="shared" si="39"/>
        <v/>
      </c>
      <c r="AS107" s="25">
        <f t="shared" si="40"/>
        <v>0</v>
      </c>
      <c r="AT107" s="44" t="str">
        <f t="shared" si="41"/>
        <v/>
      </c>
    </row>
    <row r="108" spans="7:46" x14ac:dyDescent="0.25">
      <c r="N108" s="56"/>
      <c r="W108" s="20">
        <f t="shared" si="33"/>
        <v>0</v>
      </c>
      <c r="AA108" s="32">
        <f>SUMIF(Operazioni!A:A,A108,Operazioni!C:C)</f>
        <v>0</v>
      </c>
      <c r="AB108" s="35" t="e">
        <f>INDEX(Valute!B:B,MATCH(J108,Valute!A:A,0))</f>
        <v>#N/A</v>
      </c>
      <c r="AC108" s="21">
        <f>SUMIF(Operazioni!A:A,A108,Operazioni!K:K)</f>
        <v>0</v>
      </c>
      <c r="AD108" s="21" t="e">
        <f t="shared" si="34"/>
        <v>#N/A</v>
      </c>
      <c r="AE108" s="38" t="e">
        <f t="shared" si="35"/>
        <v>#N/A</v>
      </c>
      <c r="AF108" s="76" t="str">
        <f t="shared" si="36"/>
        <v/>
      </c>
      <c r="AO108" s="25">
        <f t="shared" si="26"/>
        <v>0</v>
      </c>
      <c r="AP108" s="25">
        <f t="shared" si="37"/>
        <v>0</v>
      </c>
      <c r="AQ108" s="25">
        <f t="shared" si="38"/>
        <v>0</v>
      </c>
      <c r="AR108" s="44" t="str">
        <f t="shared" si="39"/>
        <v/>
      </c>
      <c r="AS108" s="25">
        <f t="shared" si="40"/>
        <v>0</v>
      </c>
      <c r="AT108" s="44" t="str">
        <f t="shared" si="41"/>
        <v/>
      </c>
    </row>
    <row r="109" spans="7:46" x14ac:dyDescent="0.25">
      <c r="N109" s="56"/>
      <c r="W109" s="20">
        <f t="shared" si="33"/>
        <v>0</v>
      </c>
      <c r="AA109" s="32">
        <f>SUMIF(Operazioni!A:A,A109,Operazioni!C:C)</f>
        <v>0</v>
      </c>
      <c r="AB109" s="35" t="e">
        <f>INDEX(Valute!B:B,MATCH(J109,Valute!A:A,0))</f>
        <v>#N/A</v>
      </c>
      <c r="AC109" s="21">
        <f>SUMIF(Operazioni!A:A,A109,Operazioni!K:K)</f>
        <v>0</v>
      </c>
      <c r="AD109" s="21" t="e">
        <f t="shared" si="34"/>
        <v>#N/A</v>
      </c>
      <c r="AE109" s="38" t="e">
        <f t="shared" si="35"/>
        <v>#N/A</v>
      </c>
      <c r="AF109" s="76" t="str">
        <f t="shared" si="36"/>
        <v/>
      </c>
      <c r="AO109" s="25">
        <f t="shared" si="26"/>
        <v>0</v>
      </c>
      <c r="AP109" s="25">
        <f t="shared" si="37"/>
        <v>0</v>
      </c>
      <c r="AQ109" s="25">
        <f t="shared" si="38"/>
        <v>0</v>
      </c>
      <c r="AR109" s="44" t="str">
        <f t="shared" si="39"/>
        <v/>
      </c>
      <c r="AS109" s="25">
        <f t="shared" si="40"/>
        <v>0</v>
      </c>
      <c r="AT109" s="44" t="str">
        <f t="shared" si="41"/>
        <v/>
      </c>
    </row>
    <row r="110" spans="7:46" x14ac:dyDescent="0.25">
      <c r="N110" s="56"/>
      <c r="W110" s="20">
        <f t="shared" si="33"/>
        <v>0</v>
      </c>
      <c r="AA110" s="32">
        <f>SUMIF(Operazioni!A:A,A110,Operazioni!C:C)</f>
        <v>0</v>
      </c>
      <c r="AB110" s="35" t="e">
        <f>INDEX(Valute!B:B,MATCH(J110,Valute!A:A,0))</f>
        <v>#N/A</v>
      </c>
      <c r="AC110" s="21">
        <f>SUMIF(Operazioni!A:A,A110,Operazioni!K:K)</f>
        <v>0</v>
      </c>
      <c r="AD110" s="21" t="e">
        <f t="shared" si="34"/>
        <v>#N/A</v>
      </c>
      <c r="AE110" s="38" t="e">
        <f t="shared" si="35"/>
        <v>#N/A</v>
      </c>
      <c r="AF110" s="76" t="str">
        <f t="shared" si="36"/>
        <v/>
      </c>
      <c r="AO110" s="25">
        <f t="shared" si="26"/>
        <v>0</v>
      </c>
      <c r="AP110" s="25">
        <f t="shared" si="37"/>
        <v>0</v>
      </c>
      <c r="AQ110" s="25">
        <f t="shared" si="38"/>
        <v>0</v>
      </c>
      <c r="AR110" s="44" t="str">
        <f t="shared" si="39"/>
        <v/>
      </c>
      <c r="AS110" s="25">
        <f t="shared" si="40"/>
        <v>0</v>
      </c>
      <c r="AT110" s="44" t="str">
        <f t="shared" si="41"/>
        <v/>
      </c>
    </row>
    <row r="111" spans="7:46" x14ac:dyDescent="0.25">
      <c r="N111" s="56"/>
      <c r="W111" s="20">
        <f t="shared" si="33"/>
        <v>0</v>
      </c>
      <c r="AA111" s="32">
        <f>SUMIF(Operazioni!A:A,A111,Operazioni!C:C)</f>
        <v>0</v>
      </c>
      <c r="AB111" s="35" t="e">
        <f>INDEX(Valute!B:B,MATCH(J111,Valute!A:A,0))</f>
        <v>#N/A</v>
      </c>
      <c r="AC111" s="21">
        <f>SUMIF(Operazioni!A:A,A111,Operazioni!K:K)</f>
        <v>0</v>
      </c>
      <c r="AD111" s="21" t="e">
        <f t="shared" si="34"/>
        <v>#N/A</v>
      </c>
      <c r="AE111" s="38" t="e">
        <f t="shared" si="35"/>
        <v>#N/A</v>
      </c>
      <c r="AF111" s="76" t="str">
        <f t="shared" si="36"/>
        <v/>
      </c>
      <c r="AO111" s="25">
        <f t="shared" si="26"/>
        <v>0</v>
      </c>
      <c r="AP111" s="25">
        <f t="shared" si="37"/>
        <v>0</v>
      </c>
      <c r="AQ111" s="25">
        <f t="shared" si="38"/>
        <v>0</v>
      </c>
      <c r="AR111" s="44" t="str">
        <f t="shared" si="39"/>
        <v/>
      </c>
      <c r="AS111" s="25">
        <f t="shared" si="40"/>
        <v>0</v>
      </c>
      <c r="AT111" s="44" t="str">
        <f t="shared" si="41"/>
        <v/>
      </c>
    </row>
    <row r="112" spans="7:46" x14ac:dyDescent="0.25">
      <c r="N112" s="56"/>
      <c r="W112" s="20">
        <f t="shared" si="33"/>
        <v>0</v>
      </c>
      <c r="AA112" s="32">
        <f>SUMIF(Operazioni!A:A,A112,Operazioni!C:C)</f>
        <v>0</v>
      </c>
      <c r="AB112" s="35" t="e">
        <f>INDEX(Valute!B:B,MATCH(J112,Valute!A:A,0))</f>
        <v>#N/A</v>
      </c>
      <c r="AC112" s="21">
        <f>SUMIF(Operazioni!A:A,A112,Operazioni!K:K)</f>
        <v>0</v>
      </c>
      <c r="AD112" s="21" t="e">
        <f t="shared" si="34"/>
        <v>#N/A</v>
      </c>
      <c r="AE112" s="38" t="e">
        <f t="shared" si="35"/>
        <v>#N/A</v>
      </c>
      <c r="AF112" s="76" t="str">
        <f t="shared" si="36"/>
        <v/>
      </c>
      <c r="AO112" s="25">
        <f t="shared" si="26"/>
        <v>0</v>
      </c>
      <c r="AP112" s="25">
        <f t="shared" si="37"/>
        <v>0</v>
      </c>
      <c r="AQ112" s="25">
        <f t="shared" si="38"/>
        <v>0</v>
      </c>
      <c r="AR112" s="44" t="str">
        <f t="shared" si="39"/>
        <v/>
      </c>
      <c r="AS112" s="25">
        <f t="shared" si="40"/>
        <v>0</v>
      </c>
      <c r="AT112" s="44" t="str">
        <f t="shared" si="41"/>
        <v/>
      </c>
    </row>
    <row r="113" spans="14:46" x14ac:dyDescent="0.25">
      <c r="N113" s="56"/>
      <c r="T113" s="19"/>
      <c r="W113" s="20">
        <f t="shared" si="33"/>
        <v>0</v>
      </c>
      <c r="AA113" s="32">
        <f>SUMIF(Operazioni!A:A,A113,Operazioni!C:C)</f>
        <v>0</v>
      </c>
      <c r="AB113" s="35" t="e">
        <f>INDEX(Valute!B:B,MATCH(J113,Valute!A:A,0))</f>
        <v>#N/A</v>
      </c>
      <c r="AC113" s="21">
        <f>SUMIF(Operazioni!A:A,A113,Operazioni!K:K)</f>
        <v>0</v>
      </c>
      <c r="AD113" s="21" t="e">
        <f t="shared" si="34"/>
        <v>#N/A</v>
      </c>
      <c r="AE113" s="38" t="e">
        <f t="shared" si="35"/>
        <v>#N/A</v>
      </c>
      <c r="AF113" s="76" t="str">
        <f t="shared" si="36"/>
        <v/>
      </c>
      <c r="AO113" s="25">
        <f t="shared" si="26"/>
        <v>0</v>
      </c>
      <c r="AP113" s="25">
        <f t="shared" si="37"/>
        <v>0</v>
      </c>
      <c r="AQ113" s="25">
        <f t="shared" si="38"/>
        <v>0</v>
      </c>
      <c r="AR113" s="44" t="str">
        <f t="shared" si="39"/>
        <v/>
      </c>
      <c r="AS113" s="25">
        <f t="shared" si="40"/>
        <v>0</v>
      </c>
      <c r="AT113" s="44" t="str">
        <f t="shared" si="41"/>
        <v/>
      </c>
    </row>
    <row r="114" spans="14:46" x14ac:dyDescent="0.25">
      <c r="N114" s="56"/>
      <c r="T114" s="19"/>
      <c r="W114" s="20">
        <f t="shared" si="33"/>
        <v>0</v>
      </c>
      <c r="AA114" s="32">
        <f>SUMIF(Operazioni!A:A,A114,Operazioni!C:C)</f>
        <v>0</v>
      </c>
      <c r="AB114" s="35" t="e">
        <f>INDEX(Valute!B:B,MATCH(J114,Valute!A:A,0))</f>
        <v>#N/A</v>
      </c>
      <c r="AC114" s="21">
        <f>SUMIF(Operazioni!A:A,A114,Operazioni!K:K)</f>
        <v>0</v>
      </c>
      <c r="AD114" s="21" t="e">
        <f t="shared" si="34"/>
        <v>#N/A</v>
      </c>
      <c r="AE114" s="38" t="e">
        <f t="shared" si="35"/>
        <v>#N/A</v>
      </c>
      <c r="AF114" s="76" t="str">
        <f t="shared" si="36"/>
        <v/>
      </c>
      <c r="AO114" s="25">
        <f t="shared" si="26"/>
        <v>0</v>
      </c>
      <c r="AP114" s="25">
        <f t="shared" si="37"/>
        <v>0</v>
      </c>
      <c r="AQ114" s="25">
        <f t="shared" si="38"/>
        <v>0</v>
      </c>
      <c r="AR114" s="44" t="str">
        <f t="shared" si="39"/>
        <v/>
      </c>
      <c r="AS114" s="25">
        <f t="shared" si="40"/>
        <v>0</v>
      </c>
      <c r="AT114" s="44" t="str">
        <f t="shared" si="41"/>
        <v/>
      </c>
    </row>
    <row r="115" spans="14:46" x14ac:dyDescent="0.25">
      <c r="N115" s="56"/>
      <c r="T115" s="19"/>
      <c r="W115" s="20">
        <f t="shared" si="33"/>
        <v>0</v>
      </c>
      <c r="AA115" s="32">
        <f>SUMIF(Operazioni!A:A,A115,Operazioni!C:C)</f>
        <v>0</v>
      </c>
      <c r="AB115" s="35" t="e">
        <f>INDEX(Valute!B:B,MATCH(J115,Valute!A:A,0))</f>
        <v>#N/A</v>
      </c>
      <c r="AC115" s="21">
        <f>SUMIF(Operazioni!A:A,A115,Operazioni!K:K)</f>
        <v>0</v>
      </c>
      <c r="AD115" s="21" t="e">
        <f t="shared" si="34"/>
        <v>#N/A</v>
      </c>
      <c r="AE115" s="38" t="e">
        <f t="shared" si="35"/>
        <v>#N/A</v>
      </c>
      <c r="AF115" s="76" t="str">
        <f t="shared" si="36"/>
        <v/>
      </c>
      <c r="AO115" s="25">
        <f t="shared" si="26"/>
        <v>0</v>
      </c>
      <c r="AP115" s="25">
        <f t="shared" si="37"/>
        <v>0</v>
      </c>
      <c r="AQ115" s="25">
        <f t="shared" si="38"/>
        <v>0</v>
      </c>
      <c r="AR115" s="44" t="str">
        <f t="shared" si="39"/>
        <v/>
      </c>
      <c r="AS115" s="25">
        <f t="shared" si="40"/>
        <v>0</v>
      </c>
      <c r="AT115" s="44" t="str">
        <f t="shared" si="41"/>
        <v/>
      </c>
    </row>
    <row r="116" spans="14:46" x14ac:dyDescent="0.25">
      <c r="N116" s="56"/>
      <c r="T116" s="19"/>
      <c r="W116" s="20">
        <f t="shared" si="33"/>
        <v>0</v>
      </c>
      <c r="AA116" s="32">
        <f>SUMIF(Operazioni!A:A,A116,Operazioni!C:C)</f>
        <v>0</v>
      </c>
      <c r="AB116" s="35" t="e">
        <f>INDEX(Valute!B:B,MATCH(J116,Valute!A:A,0))</f>
        <v>#N/A</v>
      </c>
      <c r="AC116" s="21">
        <f>SUMIF(Operazioni!A:A,A116,Operazioni!K:K)</f>
        <v>0</v>
      </c>
      <c r="AD116" s="21" t="e">
        <f t="shared" si="34"/>
        <v>#N/A</v>
      </c>
      <c r="AE116" s="38" t="e">
        <f t="shared" si="35"/>
        <v>#N/A</v>
      </c>
      <c r="AF116" s="76" t="str">
        <f t="shared" si="36"/>
        <v/>
      </c>
      <c r="AO116" s="25">
        <f t="shared" si="26"/>
        <v>0</v>
      </c>
      <c r="AP116" s="25">
        <f t="shared" si="37"/>
        <v>0</v>
      </c>
      <c r="AQ116" s="25">
        <f t="shared" si="38"/>
        <v>0</v>
      </c>
      <c r="AR116" s="44" t="str">
        <f t="shared" si="39"/>
        <v/>
      </c>
      <c r="AS116" s="25">
        <f t="shared" si="40"/>
        <v>0</v>
      </c>
      <c r="AT116" s="44" t="str">
        <f t="shared" si="41"/>
        <v/>
      </c>
    </row>
    <row r="117" spans="14:46" x14ac:dyDescent="0.25">
      <c r="N117" s="56"/>
      <c r="T117" s="19"/>
      <c r="W117" s="20">
        <f t="shared" si="33"/>
        <v>0</v>
      </c>
      <c r="AA117" s="32">
        <f>SUMIF(Operazioni!A:A,A117,Operazioni!C:C)</f>
        <v>0</v>
      </c>
      <c r="AB117" s="35" t="e">
        <f>INDEX(Valute!B:B,MATCH(J117,Valute!A:A,0))</f>
        <v>#N/A</v>
      </c>
      <c r="AC117" s="21">
        <f>SUMIF(Operazioni!A:A,A117,Operazioni!K:K)</f>
        <v>0</v>
      </c>
      <c r="AD117" s="21" t="e">
        <f t="shared" si="34"/>
        <v>#N/A</v>
      </c>
      <c r="AE117" s="38" t="e">
        <f t="shared" si="35"/>
        <v>#N/A</v>
      </c>
      <c r="AF117" s="76" t="str">
        <f t="shared" si="36"/>
        <v/>
      </c>
      <c r="AO117" s="25">
        <f t="shared" si="26"/>
        <v>0</v>
      </c>
      <c r="AP117" s="25">
        <f t="shared" si="37"/>
        <v>0</v>
      </c>
      <c r="AQ117" s="25">
        <f t="shared" si="38"/>
        <v>0</v>
      </c>
      <c r="AR117" s="44" t="str">
        <f t="shared" si="39"/>
        <v/>
      </c>
      <c r="AS117" s="25">
        <f t="shared" si="40"/>
        <v>0</v>
      </c>
      <c r="AT117" s="44" t="str">
        <f t="shared" si="41"/>
        <v/>
      </c>
    </row>
    <row r="118" spans="14:46" x14ac:dyDescent="0.25">
      <c r="N118" s="56"/>
      <c r="T118" s="19"/>
      <c r="W118" s="20">
        <f t="shared" si="33"/>
        <v>0</v>
      </c>
      <c r="AA118" s="32">
        <f>SUMIF(Operazioni!A:A,A118,Operazioni!C:C)</f>
        <v>0</v>
      </c>
      <c r="AB118" s="35" t="e">
        <f>INDEX(Valute!B:B,MATCH(J118,Valute!A:A,0))</f>
        <v>#N/A</v>
      </c>
      <c r="AC118" s="21">
        <f>SUMIF(Operazioni!A:A,A118,Operazioni!K:K)</f>
        <v>0</v>
      </c>
      <c r="AD118" s="21" t="e">
        <f t="shared" si="34"/>
        <v>#N/A</v>
      </c>
      <c r="AE118" s="38" t="e">
        <f t="shared" si="35"/>
        <v>#N/A</v>
      </c>
      <c r="AF118" s="76" t="str">
        <f t="shared" si="36"/>
        <v/>
      </c>
      <c r="AO118" s="25">
        <f t="shared" si="26"/>
        <v>0</v>
      </c>
      <c r="AP118" s="25">
        <f t="shared" si="37"/>
        <v>0</v>
      </c>
      <c r="AQ118" s="25">
        <f t="shared" si="38"/>
        <v>0</v>
      </c>
      <c r="AR118" s="44" t="str">
        <f t="shared" si="39"/>
        <v/>
      </c>
      <c r="AS118" s="25">
        <f t="shared" si="40"/>
        <v>0</v>
      </c>
      <c r="AT118" s="44" t="str">
        <f t="shared" si="41"/>
        <v/>
      </c>
    </row>
    <row r="119" spans="14:46" x14ac:dyDescent="0.25">
      <c r="N119" s="56"/>
      <c r="T119" s="19"/>
      <c r="W119" s="20">
        <f t="shared" si="33"/>
        <v>0</v>
      </c>
      <c r="AA119" s="32">
        <f>SUMIF(Operazioni!A:A,A119,Operazioni!C:C)</f>
        <v>0</v>
      </c>
      <c r="AB119" s="35" t="e">
        <f>INDEX(Valute!B:B,MATCH(J119,Valute!A:A,0))</f>
        <v>#N/A</v>
      </c>
      <c r="AC119" s="21">
        <f>SUMIF(Operazioni!A:A,A119,Operazioni!K:K)</f>
        <v>0</v>
      </c>
      <c r="AD119" s="21" t="e">
        <f t="shared" si="34"/>
        <v>#N/A</v>
      </c>
      <c r="AE119" s="38" t="e">
        <f t="shared" si="35"/>
        <v>#N/A</v>
      </c>
      <c r="AF119" s="76" t="str">
        <f t="shared" si="36"/>
        <v/>
      </c>
      <c r="AO119" s="25">
        <f t="shared" si="26"/>
        <v>0</v>
      </c>
      <c r="AP119" s="25">
        <f t="shared" si="37"/>
        <v>0</v>
      </c>
      <c r="AQ119" s="25">
        <f t="shared" si="38"/>
        <v>0</v>
      </c>
      <c r="AR119" s="44" t="str">
        <f t="shared" si="39"/>
        <v/>
      </c>
      <c r="AS119" s="25">
        <f t="shared" si="40"/>
        <v>0</v>
      </c>
      <c r="AT119" s="44" t="str">
        <f t="shared" si="41"/>
        <v/>
      </c>
    </row>
    <row r="120" spans="14:46" x14ac:dyDescent="0.25">
      <c r="N120" s="56"/>
      <c r="T120" s="19"/>
      <c r="W120" s="20">
        <f t="shared" si="33"/>
        <v>0</v>
      </c>
      <c r="AA120" s="32">
        <f>SUMIF(Operazioni!A:A,A120,Operazioni!C:C)</f>
        <v>0</v>
      </c>
      <c r="AB120" s="35" t="e">
        <f>INDEX(Valute!B:B,MATCH(J120,Valute!A:A,0))</f>
        <v>#N/A</v>
      </c>
      <c r="AC120" s="21">
        <f>SUMIF(Operazioni!A:A,A120,Operazioni!K:K)</f>
        <v>0</v>
      </c>
      <c r="AD120" s="21" t="e">
        <f t="shared" si="34"/>
        <v>#N/A</v>
      </c>
      <c r="AE120" s="38" t="e">
        <f t="shared" si="35"/>
        <v>#N/A</v>
      </c>
      <c r="AF120" s="76" t="str">
        <f t="shared" si="36"/>
        <v/>
      </c>
      <c r="AO120" s="25">
        <f t="shared" si="26"/>
        <v>0</v>
      </c>
      <c r="AP120" s="25">
        <f t="shared" si="37"/>
        <v>0</v>
      </c>
      <c r="AQ120" s="25">
        <f t="shared" si="38"/>
        <v>0</v>
      </c>
      <c r="AR120" s="44" t="str">
        <f t="shared" si="39"/>
        <v/>
      </c>
      <c r="AS120" s="25">
        <f t="shared" si="40"/>
        <v>0</v>
      </c>
      <c r="AT120" s="44" t="str">
        <f t="shared" si="41"/>
        <v/>
      </c>
    </row>
    <row r="121" spans="14:46" x14ac:dyDescent="0.25">
      <c r="N121" s="56"/>
      <c r="W121" s="20">
        <f t="shared" si="33"/>
        <v>0</v>
      </c>
      <c r="AA121" s="32">
        <f>SUMIF(Operazioni!A:A,A121,Operazioni!C:C)</f>
        <v>0</v>
      </c>
      <c r="AB121" s="35" t="e">
        <f>INDEX(Valute!B:B,MATCH(J121,Valute!A:A,0))</f>
        <v>#N/A</v>
      </c>
      <c r="AC121" s="21">
        <f>SUMIF(Operazioni!A:A,A121,Operazioni!K:K)</f>
        <v>0</v>
      </c>
      <c r="AD121" s="21" t="e">
        <f t="shared" si="34"/>
        <v>#N/A</v>
      </c>
      <c r="AE121" s="38" t="e">
        <f t="shared" si="35"/>
        <v>#N/A</v>
      </c>
      <c r="AF121" s="76" t="str">
        <f t="shared" si="36"/>
        <v/>
      </c>
      <c r="AO121" s="25">
        <f t="shared" si="26"/>
        <v>0</v>
      </c>
      <c r="AP121" s="25">
        <f t="shared" si="37"/>
        <v>0</v>
      </c>
      <c r="AQ121" s="25">
        <f t="shared" si="38"/>
        <v>0</v>
      </c>
      <c r="AR121" s="44" t="str">
        <f t="shared" si="39"/>
        <v/>
      </c>
      <c r="AS121" s="25">
        <f t="shared" si="40"/>
        <v>0</v>
      </c>
      <c r="AT121" s="44" t="str">
        <f t="shared" si="41"/>
        <v/>
      </c>
    </row>
    <row r="122" spans="14:46" x14ac:dyDescent="0.25">
      <c r="N122" s="56"/>
      <c r="W122" s="20">
        <f t="shared" si="33"/>
        <v>0</v>
      </c>
      <c r="AA122" s="32">
        <f>SUMIF(Operazioni!A:A,A122,Operazioni!C:C)</f>
        <v>0</v>
      </c>
      <c r="AB122" s="35" t="e">
        <f>INDEX(Valute!B:B,MATCH(J122,Valute!A:A,0))</f>
        <v>#N/A</v>
      </c>
      <c r="AC122" s="21">
        <f>SUMIF(Operazioni!A:A,A122,Operazioni!K:K)</f>
        <v>0</v>
      </c>
      <c r="AD122" s="21" t="e">
        <f t="shared" si="34"/>
        <v>#N/A</v>
      </c>
      <c r="AE122" s="38" t="e">
        <f t="shared" si="35"/>
        <v>#N/A</v>
      </c>
      <c r="AF122" s="76" t="str">
        <f t="shared" si="36"/>
        <v/>
      </c>
      <c r="AO122" s="25">
        <f t="shared" si="26"/>
        <v>0</v>
      </c>
      <c r="AP122" s="25">
        <f t="shared" si="37"/>
        <v>0</v>
      </c>
      <c r="AQ122" s="25">
        <f t="shared" si="38"/>
        <v>0</v>
      </c>
      <c r="AR122" s="44" t="str">
        <f t="shared" si="39"/>
        <v/>
      </c>
      <c r="AS122" s="25">
        <f t="shared" si="40"/>
        <v>0</v>
      </c>
      <c r="AT122" s="44" t="str">
        <f t="shared" si="41"/>
        <v/>
      </c>
    </row>
    <row r="123" spans="14:46" x14ac:dyDescent="0.25">
      <c r="N123" s="56"/>
      <c r="W123" s="20">
        <f t="shared" si="33"/>
        <v>0</v>
      </c>
      <c r="AA123" s="32">
        <f>SUMIF(Operazioni!A:A,A123,Operazioni!C:C)</f>
        <v>0</v>
      </c>
      <c r="AB123" s="35" t="e">
        <f>INDEX(Valute!B:B,MATCH(J123,Valute!A:A,0))</f>
        <v>#N/A</v>
      </c>
      <c r="AC123" s="21">
        <f>SUMIF(Operazioni!A:A,A123,Operazioni!K:K)</f>
        <v>0</v>
      </c>
      <c r="AD123" s="21" t="e">
        <f t="shared" si="34"/>
        <v>#N/A</v>
      </c>
      <c r="AE123" s="38" t="e">
        <f t="shared" si="35"/>
        <v>#N/A</v>
      </c>
      <c r="AF123" s="76" t="str">
        <f t="shared" si="36"/>
        <v/>
      </c>
      <c r="AO123" s="25">
        <f t="shared" si="26"/>
        <v>0</v>
      </c>
      <c r="AP123" s="25">
        <f t="shared" si="37"/>
        <v>0</v>
      </c>
      <c r="AQ123" s="25">
        <f t="shared" si="38"/>
        <v>0</v>
      </c>
      <c r="AR123" s="44" t="str">
        <f t="shared" si="39"/>
        <v/>
      </c>
      <c r="AS123" s="25">
        <f t="shared" si="40"/>
        <v>0</v>
      </c>
      <c r="AT123" s="44" t="str">
        <f t="shared" si="41"/>
        <v/>
      </c>
    </row>
    <row r="124" spans="14:46" x14ac:dyDescent="0.25">
      <c r="N124" s="56"/>
      <c r="W124" s="20">
        <f t="shared" ref="W124:W132" si="42">(I124/IF(OR(D124="O",D124="CE"),100,1)*R124*(1+S124)+T124)*U124+V124</f>
        <v>0</v>
      </c>
      <c r="AA124" s="32">
        <f>SUMIF(Operazioni!A:A,A124,Operazioni!C:C)</f>
        <v>0</v>
      </c>
      <c r="AB124" s="35" t="e">
        <f>INDEX(Valute!B:B,MATCH(J124,Valute!A:A,0))</f>
        <v>#N/A</v>
      </c>
      <c r="AC124" s="21">
        <f>SUMIF(Operazioni!A:A,A124,Operazioni!K:K)</f>
        <v>0</v>
      </c>
      <c r="AD124" s="21" t="e">
        <f t="shared" ref="AD124:AD132" si="43">((I124+AA124)/IF(OR(D124="O",D124="CE"),100,1)*Z124)*AB124+AC124</f>
        <v>#N/A</v>
      </c>
      <c r="AE124" s="38" t="e">
        <f t="shared" ref="AE124:AE131" si="44">AD124-W124</f>
        <v>#N/A</v>
      </c>
      <c r="AF124" s="76" t="str">
        <f t="shared" ref="AF124:AF131" si="45">IF(W124&lt;&gt;0,AE124/W124,"")</f>
        <v/>
      </c>
      <c r="AO124" s="25">
        <f t="shared" si="26"/>
        <v>0</v>
      </c>
      <c r="AP124" s="25">
        <f t="shared" ref="AP124:AP132" si="46">((I124+AA124)/IF(OR(D124="O",D124="CE"),100,1)*AJ124*(1-AK124)-AL124)*AM124-AN124+AC124</f>
        <v>0</v>
      </c>
      <c r="AQ124" s="25">
        <f t="shared" ref="AQ124:AQ131" si="47">AP124-W124</f>
        <v>0</v>
      </c>
      <c r="AR124" s="44" t="str">
        <f t="shared" ref="AR124:AR131" si="48">IF(W124&lt;&gt;0,AQ124/W124,"")</f>
        <v/>
      </c>
      <c r="AS124" s="25">
        <f t="shared" ref="AS124:AS131" si="49">(AQ124-AC124)*N124</f>
        <v>0</v>
      </c>
      <c r="AT124" s="44" t="str">
        <f t="shared" ref="AT124:AT131" si="50">IF(W124&lt;&gt;0,(AQ124-AS124)/W124,"")</f>
        <v/>
      </c>
    </row>
    <row r="125" spans="14:46" x14ac:dyDescent="0.25">
      <c r="N125" s="56"/>
      <c r="W125" s="20">
        <f t="shared" si="42"/>
        <v>0</v>
      </c>
      <c r="AA125" s="32">
        <f>SUMIF(Operazioni!A:A,A125,Operazioni!C:C)</f>
        <v>0</v>
      </c>
      <c r="AB125" s="35" t="e">
        <f>INDEX(Valute!B:B,MATCH(J125,Valute!A:A,0))</f>
        <v>#N/A</v>
      </c>
      <c r="AC125" s="21">
        <f>SUMIF(Operazioni!A:A,A125,Operazioni!K:K)</f>
        <v>0</v>
      </c>
      <c r="AD125" s="21" t="e">
        <f t="shared" si="43"/>
        <v>#N/A</v>
      </c>
      <c r="AE125" s="38" t="e">
        <f t="shared" si="44"/>
        <v>#N/A</v>
      </c>
      <c r="AF125" s="76" t="str">
        <f t="shared" si="45"/>
        <v/>
      </c>
      <c r="AO125" s="25">
        <f t="shared" si="26"/>
        <v>0</v>
      </c>
      <c r="AP125" s="25">
        <f t="shared" si="46"/>
        <v>0</v>
      </c>
      <c r="AQ125" s="25">
        <f t="shared" si="47"/>
        <v>0</v>
      </c>
      <c r="AR125" s="44" t="str">
        <f t="shared" si="48"/>
        <v/>
      </c>
      <c r="AS125" s="25">
        <f t="shared" si="49"/>
        <v>0</v>
      </c>
      <c r="AT125" s="44" t="str">
        <f t="shared" si="50"/>
        <v/>
      </c>
    </row>
    <row r="126" spans="14:46" x14ac:dyDescent="0.25">
      <c r="N126" s="56"/>
      <c r="W126" s="20">
        <f t="shared" si="42"/>
        <v>0</v>
      </c>
      <c r="AA126" s="32">
        <f>SUMIF(Operazioni!A:A,A126,Operazioni!C:C)</f>
        <v>0</v>
      </c>
      <c r="AB126" s="35" t="e">
        <f>INDEX(Valute!B:B,MATCH(J126,Valute!A:A,0))</f>
        <v>#N/A</v>
      </c>
      <c r="AC126" s="21">
        <f>SUMIF(Operazioni!A:A,A126,Operazioni!K:K)</f>
        <v>0</v>
      </c>
      <c r="AD126" s="21" t="e">
        <f t="shared" si="43"/>
        <v>#N/A</v>
      </c>
      <c r="AE126" s="38" t="e">
        <f t="shared" si="44"/>
        <v>#N/A</v>
      </c>
      <c r="AF126" s="76" t="str">
        <f t="shared" si="45"/>
        <v/>
      </c>
      <c r="AO126" s="25">
        <f t="shared" si="26"/>
        <v>0</v>
      </c>
      <c r="AP126" s="25">
        <f t="shared" si="46"/>
        <v>0</v>
      </c>
      <c r="AQ126" s="25">
        <f t="shared" si="47"/>
        <v>0</v>
      </c>
      <c r="AR126" s="44" t="str">
        <f t="shared" si="48"/>
        <v/>
      </c>
      <c r="AS126" s="25">
        <f t="shared" si="49"/>
        <v>0</v>
      </c>
      <c r="AT126" s="44" t="str">
        <f t="shared" si="50"/>
        <v/>
      </c>
    </row>
    <row r="127" spans="14:46" x14ac:dyDescent="0.25">
      <c r="N127" s="56"/>
      <c r="W127" s="20">
        <f t="shared" si="42"/>
        <v>0</v>
      </c>
      <c r="AA127" s="32">
        <f>SUMIF(Operazioni!A:A,A127,Operazioni!C:C)</f>
        <v>0</v>
      </c>
      <c r="AB127" s="35" t="e">
        <f>INDEX(Valute!B:B,MATCH(J127,Valute!A:A,0))</f>
        <v>#N/A</v>
      </c>
      <c r="AC127" s="21">
        <f>SUMIF(Operazioni!A:A,A127,Operazioni!K:K)</f>
        <v>0</v>
      </c>
      <c r="AD127" s="21" t="e">
        <f t="shared" si="43"/>
        <v>#N/A</v>
      </c>
      <c r="AE127" s="38" t="e">
        <f t="shared" si="44"/>
        <v>#N/A</v>
      </c>
      <c r="AF127" s="76" t="str">
        <f t="shared" si="45"/>
        <v/>
      </c>
      <c r="AO127" s="25">
        <f t="shared" si="26"/>
        <v>0</v>
      </c>
      <c r="AP127" s="25">
        <f t="shared" si="46"/>
        <v>0</v>
      </c>
      <c r="AQ127" s="25">
        <f t="shared" si="47"/>
        <v>0</v>
      </c>
      <c r="AR127" s="44" t="str">
        <f t="shared" si="48"/>
        <v/>
      </c>
      <c r="AS127" s="25">
        <f t="shared" si="49"/>
        <v>0</v>
      </c>
      <c r="AT127" s="44" t="str">
        <f t="shared" si="50"/>
        <v/>
      </c>
    </row>
    <row r="128" spans="14:46" x14ac:dyDescent="0.25">
      <c r="N128" s="56"/>
      <c r="W128" s="20">
        <f t="shared" si="42"/>
        <v>0</v>
      </c>
      <c r="AA128" s="32">
        <f>SUMIF(Operazioni!A:A,A128,Operazioni!C:C)</f>
        <v>0</v>
      </c>
      <c r="AB128" s="35" t="e">
        <f>INDEX(Valute!B:B,MATCH(J128,Valute!A:A,0))</f>
        <v>#N/A</v>
      </c>
      <c r="AC128" s="21">
        <f>SUMIF(Operazioni!A:A,A128,Operazioni!K:K)</f>
        <v>0</v>
      </c>
      <c r="AD128" s="21" t="e">
        <f t="shared" si="43"/>
        <v>#N/A</v>
      </c>
      <c r="AE128" s="38" t="e">
        <f t="shared" si="44"/>
        <v>#N/A</v>
      </c>
      <c r="AF128" s="76" t="str">
        <f t="shared" si="45"/>
        <v/>
      </c>
      <c r="AO128" s="25">
        <f t="shared" si="26"/>
        <v>0</v>
      </c>
      <c r="AP128" s="25">
        <f t="shared" si="46"/>
        <v>0</v>
      </c>
      <c r="AQ128" s="25">
        <f t="shared" si="47"/>
        <v>0</v>
      </c>
      <c r="AR128" s="44" t="str">
        <f t="shared" si="48"/>
        <v/>
      </c>
      <c r="AS128" s="25">
        <f t="shared" si="49"/>
        <v>0</v>
      </c>
      <c r="AT128" s="44" t="str">
        <f t="shared" si="50"/>
        <v/>
      </c>
    </row>
    <row r="129" spans="1:46" x14ac:dyDescent="0.25">
      <c r="N129" s="56"/>
      <c r="W129" s="20">
        <f t="shared" si="42"/>
        <v>0</v>
      </c>
      <c r="AA129" s="32">
        <f>SUMIF(Operazioni!A:A,A129,Operazioni!C:C)</f>
        <v>0</v>
      </c>
      <c r="AB129" s="35" t="e">
        <f>INDEX(Valute!B:B,MATCH(J129,Valute!A:A,0))</f>
        <v>#N/A</v>
      </c>
      <c r="AC129" s="21">
        <f>SUMIF(Operazioni!A:A,A129,Operazioni!K:K)</f>
        <v>0</v>
      </c>
      <c r="AD129" s="21" t="e">
        <f t="shared" si="43"/>
        <v>#N/A</v>
      </c>
      <c r="AE129" s="38" t="e">
        <f t="shared" si="44"/>
        <v>#N/A</v>
      </c>
      <c r="AF129" s="76" t="str">
        <f t="shared" si="45"/>
        <v/>
      </c>
      <c r="AO129" s="25">
        <f t="shared" si="26"/>
        <v>0</v>
      </c>
      <c r="AP129" s="25">
        <f t="shared" si="46"/>
        <v>0</v>
      </c>
      <c r="AQ129" s="25">
        <f t="shared" si="47"/>
        <v>0</v>
      </c>
      <c r="AR129" s="44" t="str">
        <f t="shared" si="48"/>
        <v/>
      </c>
      <c r="AS129" s="25">
        <f t="shared" si="49"/>
        <v>0</v>
      </c>
      <c r="AT129" s="44" t="str">
        <f t="shared" si="50"/>
        <v/>
      </c>
    </row>
    <row r="130" spans="1:46" x14ac:dyDescent="0.25">
      <c r="N130" s="56"/>
      <c r="W130" s="20">
        <f t="shared" si="42"/>
        <v>0</v>
      </c>
      <c r="AA130" s="32">
        <f>SUMIF(Operazioni!A:A,A130,Operazioni!C:C)</f>
        <v>0</v>
      </c>
      <c r="AB130" s="35" t="e">
        <f>INDEX(Valute!B:B,MATCH(J130,Valute!A:A,0))</f>
        <v>#N/A</v>
      </c>
      <c r="AC130" s="21">
        <f>SUMIF(Operazioni!A:A,A130,Operazioni!K:K)</f>
        <v>0</v>
      </c>
      <c r="AD130" s="21" t="e">
        <f t="shared" si="43"/>
        <v>#N/A</v>
      </c>
      <c r="AE130" s="38" t="e">
        <f t="shared" si="44"/>
        <v>#N/A</v>
      </c>
      <c r="AF130" s="76" t="str">
        <f t="shared" si="45"/>
        <v/>
      </c>
      <c r="AO130" s="25">
        <f t="shared" si="26"/>
        <v>0</v>
      </c>
      <c r="AP130" s="25">
        <f t="shared" si="46"/>
        <v>0</v>
      </c>
      <c r="AQ130" s="25">
        <f t="shared" si="47"/>
        <v>0</v>
      </c>
      <c r="AR130" s="44" t="str">
        <f t="shared" si="48"/>
        <v/>
      </c>
      <c r="AS130" s="25">
        <f t="shared" si="49"/>
        <v>0</v>
      </c>
      <c r="AT130" s="44" t="str">
        <f t="shared" si="50"/>
        <v/>
      </c>
    </row>
    <row r="131" spans="1:46" x14ac:dyDescent="0.25">
      <c r="N131" s="56"/>
      <c r="W131" s="20">
        <f t="shared" si="42"/>
        <v>0</v>
      </c>
      <c r="AA131" s="32">
        <f>SUMIF(Operazioni!A:A,A131,Operazioni!C:C)</f>
        <v>0</v>
      </c>
      <c r="AB131" s="35" t="e">
        <f>INDEX(Valute!B:B,MATCH(J131,Valute!A:A,0))</f>
        <v>#N/A</v>
      </c>
      <c r="AC131" s="21">
        <f>SUMIF(Operazioni!A:A,A131,Operazioni!K:K)</f>
        <v>0</v>
      </c>
      <c r="AD131" s="21" t="e">
        <f t="shared" si="43"/>
        <v>#N/A</v>
      </c>
      <c r="AE131" s="38" t="e">
        <f t="shared" si="44"/>
        <v>#N/A</v>
      </c>
      <c r="AF131" s="76" t="str">
        <f t="shared" si="45"/>
        <v/>
      </c>
      <c r="AO131" s="25">
        <f t="shared" si="26"/>
        <v>0</v>
      </c>
      <c r="AP131" s="25">
        <f t="shared" si="46"/>
        <v>0</v>
      </c>
      <c r="AQ131" s="25">
        <f t="shared" si="47"/>
        <v>0</v>
      </c>
      <c r="AR131" s="44" t="str">
        <f t="shared" si="48"/>
        <v/>
      </c>
      <c r="AS131" s="25">
        <f t="shared" si="49"/>
        <v>0</v>
      </c>
      <c r="AT131" s="44" t="str">
        <f t="shared" si="50"/>
        <v/>
      </c>
    </row>
    <row r="132" spans="1:46" x14ac:dyDescent="0.25">
      <c r="A132" s="27"/>
      <c r="B132" s="27"/>
      <c r="G132" s="27"/>
      <c r="N132" s="56"/>
      <c r="W132" s="20">
        <f t="shared" si="42"/>
        <v>0</v>
      </c>
      <c r="AA132" s="32">
        <f>SUMIF(Operazioni!A:A,A132,Operazioni!C:C)</f>
        <v>0</v>
      </c>
      <c r="AB132" s="35" t="e">
        <f>INDEX(Valute!B:B,MATCH(J132,Valute!A:A,0))</f>
        <v>#N/A</v>
      </c>
      <c r="AC132" s="21">
        <f>SUMIF(Operazioni!A:A,A132,Operazioni!K:K)</f>
        <v>0</v>
      </c>
      <c r="AD132" s="21" t="e">
        <f t="shared" si="43"/>
        <v>#N/A</v>
      </c>
      <c r="AE132" s="38" t="e">
        <f>AD132-W132</f>
        <v>#N/A</v>
      </c>
      <c r="AF132" s="76" t="str">
        <f>IF(W132&lt;&gt;0,AE132/W132,"")</f>
        <v/>
      </c>
      <c r="AO132" s="25">
        <f t="shared" ref="AO132" si="51">AC132*(1-N132)</f>
        <v>0</v>
      </c>
      <c r="AP132" s="25">
        <f t="shared" si="46"/>
        <v>0</v>
      </c>
      <c r="AQ132" s="25">
        <f>AP132-W132</f>
        <v>0</v>
      </c>
      <c r="AR132" s="44" t="str">
        <f>IF(W132&lt;&gt;0,AQ132/W132,"")</f>
        <v/>
      </c>
      <c r="AS132" s="25">
        <f>(AQ132-AC132)*N132</f>
        <v>0</v>
      </c>
      <c r="AT132" s="44" t="str">
        <f>IF(W132&lt;&gt;0,(AQ132-AS132)/W132,"")</f>
        <v/>
      </c>
    </row>
  </sheetData>
  <autoFilter ref="A1:AT123" xr:uid="{EB32FBB6-B2E1-4036-87F1-BD29DC9B5422}">
    <sortState xmlns:xlrd2="http://schemas.microsoft.com/office/spreadsheetml/2017/richdata2" ref="A2:AT123">
      <sortCondition ref="D1:D123"/>
    </sortState>
  </autoFilter>
  <conditionalFormatting sqref="AA2:AA1048576">
    <cfRule type="cellIs" dxfId="1" priority="1" operator="lessThan">
      <formula>0</formula>
    </cfRule>
    <cfRule type="cellIs" dxfId="0" priority="2" operator="greaterThan">
      <formula>0</formula>
    </cfRule>
  </conditionalFormatting>
  <conditionalFormatting sqref="AF1:AF1048576 AR1:AR1048576 AT1:AT1048576">
    <cfRule type="colorScale" priority="5">
      <colorScale>
        <cfvo type="num" val="-0.5"/>
        <cfvo type="num" val="0"/>
        <cfvo type="num" val="0.5"/>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48CD-9529-46B2-8C4A-EAAF6702B7ED}">
  <sheetPr codeName="Sheet2"/>
  <dimension ref="A1:N158"/>
  <sheetViews>
    <sheetView topLeftCell="A144" workbookViewId="0">
      <selection activeCell="K157" sqref="K157:K158"/>
    </sheetView>
  </sheetViews>
  <sheetFormatPr defaultRowHeight="15" x14ac:dyDescent="0.25"/>
  <cols>
    <col min="1" max="1" width="8.85546875" bestFit="1" customWidth="1"/>
    <col min="2" max="2" width="12" customWidth="1"/>
    <col min="3" max="3" width="10.42578125" style="33" bestFit="1" customWidth="1"/>
    <col min="4" max="4" width="10.42578125" style="79" customWidth="1"/>
    <col min="5" max="5" width="12.28515625" style="36" bestFit="1" customWidth="1"/>
    <col min="6" max="6" width="9.5703125" style="8" customWidth="1"/>
    <col min="7" max="7" width="6.7109375" style="1" bestFit="1" customWidth="1"/>
    <col min="8" max="8" width="9.28515625" style="86" customWidth="1"/>
    <col min="9" max="9" width="12.85546875" style="89" bestFit="1" customWidth="1"/>
    <col min="10" max="10" width="12.85546875" style="94" customWidth="1"/>
    <col min="11" max="11" width="14.85546875" style="1" bestFit="1" customWidth="1"/>
    <col min="12" max="12" width="19.28515625" bestFit="1" customWidth="1"/>
    <col min="13" max="13" width="12.42578125" bestFit="1" customWidth="1"/>
    <col min="14" max="14" width="9.5703125" bestFit="1" customWidth="1"/>
  </cols>
  <sheetData>
    <row r="1" spans="1:14" ht="30" x14ac:dyDescent="0.25">
      <c r="A1" s="9" t="s">
        <v>278</v>
      </c>
      <c r="B1" s="9" t="s">
        <v>2</v>
      </c>
      <c r="C1" s="31" t="s">
        <v>19</v>
      </c>
      <c r="D1" s="78" t="s">
        <v>279</v>
      </c>
      <c r="E1" s="34" t="s">
        <v>11</v>
      </c>
      <c r="F1" s="13" t="s">
        <v>16</v>
      </c>
      <c r="G1" s="26" t="s">
        <v>9</v>
      </c>
      <c r="H1" s="84" t="s">
        <v>583</v>
      </c>
      <c r="I1" s="87" t="s">
        <v>517</v>
      </c>
      <c r="J1" s="92" t="s">
        <v>585</v>
      </c>
      <c r="K1" s="58" t="s">
        <v>584</v>
      </c>
      <c r="L1" s="58" t="s">
        <v>524</v>
      </c>
    </row>
    <row r="2" spans="1:14" x14ac:dyDescent="0.25">
      <c r="A2" s="17">
        <v>21</v>
      </c>
      <c r="B2" s="70">
        <v>44430</v>
      </c>
      <c r="E2" s="35">
        <v>1</v>
      </c>
      <c r="F2" s="79">
        <v>0.38</v>
      </c>
      <c r="G2" s="27" t="str">
        <f>INDEX('Stato patrimoniale'!J:J,MATCH(A2,'Stato patrimoniale'!A:A,0))</f>
        <v>USD</v>
      </c>
      <c r="H2" s="85">
        <f>F2+D2*E2</f>
        <v>0.38</v>
      </c>
      <c r="I2" s="88">
        <f>INDEX('Stato patrimoniale'!N:N,MATCH(A2,'Stato patrimoniale'!A:A,0))</f>
        <v>0.26</v>
      </c>
      <c r="J2" s="93">
        <f>H2*I2</f>
        <v>9.8799999999999999E-2</v>
      </c>
      <c r="K2" s="59">
        <f>H2-(H2*I2)</f>
        <v>0.28120000000000001</v>
      </c>
      <c r="M2" s="82" t="s">
        <v>519</v>
      </c>
      <c r="N2" s="8">
        <f>SUM(H2:H1002)</f>
        <v>5225.5508299999974</v>
      </c>
    </row>
    <row r="3" spans="1:14" x14ac:dyDescent="0.25">
      <c r="A3" s="17">
        <v>23</v>
      </c>
      <c r="B3" s="70">
        <v>44452</v>
      </c>
      <c r="E3" s="35">
        <v>1</v>
      </c>
      <c r="F3" s="79">
        <v>29.09</v>
      </c>
      <c r="G3" s="27" t="str">
        <f>INDEX('Stato patrimoniale'!J:J,MATCH(A3,'Stato patrimoniale'!A:A,0))</f>
        <v>USD</v>
      </c>
      <c r="H3" s="85">
        <f t="shared" ref="H3:H66" si="0">F3+D3*E3</f>
        <v>29.09</v>
      </c>
      <c r="I3" s="88">
        <f>INDEX('Stato patrimoniale'!N:N,MATCH(A3,'Stato patrimoniale'!A:A,0))</f>
        <v>0.26</v>
      </c>
      <c r="J3" s="93">
        <f t="shared" ref="J3:J66" si="1">H3*I3</f>
        <v>7.5634000000000006</v>
      </c>
      <c r="K3" s="59">
        <f t="shared" ref="K3:K66" si="2">H3-(H3*I3)</f>
        <v>21.526599999999998</v>
      </c>
      <c r="M3" s="82" t="s">
        <v>518</v>
      </c>
      <c r="N3" s="8">
        <f>SUM(K2:K1002)</f>
        <v>4409.5010762499987</v>
      </c>
    </row>
    <row r="4" spans="1:14" x14ac:dyDescent="0.25">
      <c r="A4" s="17">
        <v>21</v>
      </c>
      <c r="B4" s="70">
        <v>44516</v>
      </c>
      <c r="E4" s="35">
        <v>1</v>
      </c>
      <c r="F4" s="79">
        <v>0.33</v>
      </c>
      <c r="G4" s="27" t="str">
        <f>INDEX('Stato patrimoniale'!J:J,MATCH(A4,'Stato patrimoniale'!A:A,0))</f>
        <v>USD</v>
      </c>
      <c r="H4" s="85">
        <f t="shared" si="0"/>
        <v>0.33</v>
      </c>
      <c r="I4" s="88">
        <f>INDEX('Stato patrimoniale'!N:N,MATCH(A4,'Stato patrimoniale'!A:A,0))</f>
        <v>0.26</v>
      </c>
      <c r="J4" s="93">
        <f t="shared" si="1"/>
        <v>8.5800000000000001E-2</v>
      </c>
      <c r="K4" s="59">
        <f t="shared" si="2"/>
        <v>0.24420000000000003</v>
      </c>
    </row>
    <row r="5" spans="1:14" x14ac:dyDescent="0.25">
      <c r="A5" s="17">
        <v>23</v>
      </c>
      <c r="B5" s="70">
        <v>44545</v>
      </c>
      <c r="E5" s="35">
        <v>1</v>
      </c>
      <c r="F5" s="79">
        <v>29</v>
      </c>
      <c r="G5" s="27" t="str">
        <f>INDEX('Stato patrimoniale'!J:J,MATCH(A5,'Stato patrimoniale'!A:A,0))</f>
        <v>USD</v>
      </c>
      <c r="H5" s="85">
        <f t="shared" si="0"/>
        <v>29</v>
      </c>
      <c r="I5" s="88">
        <f>INDEX('Stato patrimoniale'!N:N,MATCH(A5,'Stato patrimoniale'!A:A,0))</f>
        <v>0.26</v>
      </c>
      <c r="J5" s="93">
        <f t="shared" si="1"/>
        <v>7.54</v>
      </c>
      <c r="K5" s="59">
        <f t="shared" si="2"/>
        <v>21.46</v>
      </c>
    </row>
    <row r="6" spans="1:14" x14ac:dyDescent="0.25">
      <c r="A6" s="17">
        <v>21</v>
      </c>
      <c r="B6" s="70">
        <v>44607</v>
      </c>
      <c r="E6" s="35">
        <v>1</v>
      </c>
      <c r="F6" s="79">
        <v>0.33</v>
      </c>
      <c r="G6" s="27" t="str">
        <f>INDEX('Stato patrimoniale'!J:J,MATCH(A6,'Stato patrimoniale'!A:A,0))</f>
        <v>USD</v>
      </c>
      <c r="H6" s="85">
        <f t="shared" si="0"/>
        <v>0.33</v>
      </c>
      <c r="I6" s="88">
        <f>INDEX('Stato patrimoniale'!N:N,MATCH(A6,'Stato patrimoniale'!A:A,0))</f>
        <v>0.26</v>
      </c>
      <c r="J6" s="93">
        <f t="shared" si="1"/>
        <v>8.5800000000000001E-2</v>
      </c>
      <c r="K6" s="59">
        <f t="shared" si="2"/>
        <v>0.24420000000000003</v>
      </c>
    </row>
    <row r="7" spans="1:14" x14ac:dyDescent="0.25">
      <c r="A7" s="17">
        <v>23</v>
      </c>
      <c r="B7" s="60">
        <v>44637</v>
      </c>
      <c r="C7" s="32"/>
      <c r="D7" s="80"/>
      <c r="E7" s="35">
        <v>1</v>
      </c>
      <c r="F7" s="80">
        <v>37.200000000000003</v>
      </c>
      <c r="G7" s="27" t="str">
        <f>INDEX('Stato patrimoniale'!J:J,MATCH(A7,'Stato patrimoniale'!A:A,0))</f>
        <v>USD</v>
      </c>
      <c r="H7" s="85">
        <f t="shared" si="0"/>
        <v>37.200000000000003</v>
      </c>
      <c r="I7" s="88">
        <f>INDEX('Stato patrimoniale'!N:N,MATCH(A7,'Stato patrimoniale'!A:A,0))</f>
        <v>0.26</v>
      </c>
      <c r="J7" s="93">
        <f t="shared" si="1"/>
        <v>9.6720000000000006</v>
      </c>
      <c r="K7" s="59">
        <f t="shared" si="2"/>
        <v>27.528000000000002</v>
      </c>
    </row>
    <row r="8" spans="1:14" x14ac:dyDescent="0.25">
      <c r="A8" s="17">
        <v>21</v>
      </c>
      <c r="B8" s="60">
        <v>44697</v>
      </c>
      <c r="C8" s="32"/>
      <c r="D8" s="80"/>
      <c r="E8" s="35">
        <v>1</v>
      </c>
      <c r="F8" s="80">
        <v>0.37</v>
      </c>
      <c r="G8" s="27" t="str">
        <f>INDEX('Stato patrimoniale'!J:J,MATCH(A8,'Stato patrimoniale'!A:A,0))</f>
        <v>USD</v>
      </c>
      <c r="H8" s="85">
        <f t="shared" si="0"/>
        <v>0.37</v>
      </c>
      <c r="I8" s="88">
        <f>INDEX('Stato patrimoniale'!N:N,MATCH(A8,'Stato patrimoniale'!A:A,0))</f>
        <v>0.26</v>
      </c>
      <c r="J8" s="93">
        <f t="shared" si="1"/>
        <v>9.6200000000000008E-2</v>
      </c>
      <c r="K8" s="59">
        <f t="shared" si="2"/>
        <v>0.27379999999999999</v>
      </c>
    </row>
    <row r="9" spans="1:14" x14ac:dyDescent="0.25">
      <c r="A9" s="17">
        <v>23</v>
      </c>
      <c r="B9" s="60">
        <v>44726</v>
      </c>
      <c r="C9" s="32"/>
      <c r="D9" s="80"/>
      <c r="E9" s="35">
        <v>1</v>
      </c>
      <c r="F9" s="80">
        <v>39.33</v>
      </c>
      <c r="G9" s="27" t="str">
        <f>INDEX('Stato patrimoniale'!J:J,MATCH(A9,'Stato patrimoniale'!A:A,0))</f>
        <v>USD</v>
      </c>
      <c r="H9" s="85">
        <f t="shared" si="0"/>
        <v>39.33</v>
      </c>
      <c r="I9" s="88">
        <f>INDEX('Stato patrimoniale'!N:N,MATCH(A9,'Stato patrimoniale'!A:A,0))</f>
        <v>0.26</v>
      </c>
      <c r="J9" s="93">
        <f t="shared" si="1"/>
        <v>10.2258</v>
      </c>
      <c r="K9" s="59">
        <f t="shared" si="2"/>
        <v>29.104199999999999</v>
      </c>
    </row>
    <row r="10" spans="1:14" x14ac:dyDescent="0.25">
      <c r="A10" s="17">
        <v>21</v>
      </c>
      <c r="B10" s="60">
        <v>44789</v>
      </c>
      <c r="C10" s="32"/>
      <c r="D10" s="80"/>
      <c r="E10" s="35">
        <v>1</v>
      </c>
      <c r="F10" s="80">
        <v>0.38</v>
      </c>
      <c r="G10" s="27" t="str">
        <f>INDEX('Stato patrimoniale'!J:J,MATCH(A10,'Stato patrimoniale'!A:A,0))</f>
        <v>USD</v>
      </c>
      <c r="H10" s="85">
        <f t="shared" si="0"/>
        <v>0.38</v>
      </c>
      <c r="I10" s="88">
        <f>INDEX('Stato patrimoniale'!N:N,MATCH(A10,'Stato patrimoniale'!A:A,0))</f>
        <v>0.26</v>
      </c>
      <c r="J10" s="93">
        <f t="shared" si="1"/>
        <v>9.8799999999999999E-2</v>
      </c>
      <c r="K10" s="59">
        <f t="shared" si="2"/>
        <v>0.28120000000000001</v>
      </c>
    </row>
    <row r="11" spans="1:14" x14ac:dyDescent="0.25">
      <c r="A11" s="17">
        <v>23</v>
      </c>
      <c r="B11" s="60">
        <v>44817</v>
      </c>
      <c r="C11" s="32"/>
      <c r="D11" s="80"/>
      <c r="E11" s="35">
        <v>1</v>
      </c>
      <c r="F11" s="80">
        <v>40.4</v>
      </c>
      <c r="G11" s="27" t="str">
        <f>INDEX('Stato patrimoniale'!J:J,MATCH(A11,'Stato patrimoniale'!A:A,0))</f>
        <v>USD</v>
      </c>
      <c r="H11" s="85">
        <f t="shared" si="0"/>
        <v>40.4</v>
      </c>
      <c r="I11" s="88">
        <f>INDEX('Stato patrimoniale'!N:N,MATCH(A11,'Stato patrimoniale'!A:A,0))</f>
        <v>0.26</v>
      </c>
      <c r="J11" s="93">
        <f t="shared" si="1"/>
        <v>10.504</v>
      </c>
      <c r="K11" s="59">
        <f t="shared" si="2"/>
        <v>29.896000000000001</v>
      </c>
    </row>
    <row r="12" spans="1:14" x14ac:dyDescent="0.25">
      <c r="A12" s="17">
        <v>21</v>
      </c>
      <c r="B12" s="60">
        <v>44825</v>
      </c>
      <c r="C12" s="32"/>
      <c r="D12" s="80"/>
      <c r="E12" s="35">
        <v>1</v>
      </c>
      <c r="F12" s="80">
        <v>0.37</v>
      </c>
      <c r="G12" s="27" t="str">
        <f>INDEX('Stato patrimoniale'!J:J,MATCH(A12,'Stato patrimoniale'!A:A,0))</f>
        <v>USD</v>
      </c>
      <c r="H12" s="85">
        <f t="shared" si="0"/>
        <v>0.37</v>
      </c>
      <c r="I12" s="88">
        <f>INDEX('Stato patrimoniale'!N:N,MATCH(A12,'Stato patrimoniale'!A:A,0))</f>
        <v>0.26</v>
      </c>
      <c r="J12" s="93">
        <f t="shared" si="1"/>
        <v>9.6200000000000008E-2</v>
      </c>
      <c r="K12" s="59">
        <f t="shared" si="2"/>
        <v>0.27379999999999999</v>
      </c>
    </row>
    <row r="13" spans="1:14" x14ac:dyDescent="0.25">
      <c r="A13" s="17">
        <v>21</v>
      </c>
      <c r="B13" s="60">
        <v>44879</v>
      </c>
      <c r="C13" s="32"/>
      <c r="D13" s="80"/>
      <c r="E13" s="35">
        <v>1</v>
      </c>
      <c r="F13" s="80">
        <v>0.38</v>
      </c>
      <c r="G13" s="27" t="str">
        <f>INDEX('Stato patrimoniale'!J:J,MATCH(A13,'Stato patrimoniale'!A:A,0))</f>
        <v>USD</v>
      </c>
      <c r="H13" s="85">
        <f t="shared" si="0"/>
        <v>0.38</v>
      </c>
      <c r="I13" s="88">
        <f>INDEX('Stato patrimoniale'!N:N,MATCH(A13,'Stato patrimoniale'!A:A,0))</f>
        <v>0.26</v>
      </c>
      <c r="J13" s="93">
        <f t="shared" si="1"/>
        <v>9.8799999999999999E-2</v>
      </c>
      <c r="K13" s="59">
        <f t="shared" si="2"/>
        <v>0.28120000000000001</v>
      </c>
    </row>
    <row r="14" spans="1:14" x14ac:dyDescent="0.25">
      <c r="A14" s="17">
        <v>23</v>
      </c>
      <c r="B14" s="60">
        <v>44910</v>
      </c>
      <c r="C14" s="32"/>
      <c r="D14" s="80"/>
      <c r="E14" s="35">
        <v>1</v>
      </c>
      <c r="F14" s="80">
        <v>42.44</v>
      </c>
      <c r="G14" s="27" t="str">
        <f>INDEX('Stato patrimoniale'!J:J,MATCH(A14,'Stato patrimoniale'!A:A,0))</f>
        <v>USD</v>
      </c>
      <c r="H14" s="85">
        <f t="shared" si="0"/>
        <v>42.44</v>
      </c>
      <c r="I14" s="88">
        <f>INDEX('Stato patrimoniale'!N:N,MATCH(A14,'Stato patrimoniale'!A:A,0))</f>
        <v>0.26</v>
      </c>
      <c r="J14" s="93">
        <f t="shared" si="1"/>
        <v>11.0344</v>
      </c>
      <c r="K14" s="59">
        <f t="shared" si="2"/>
        <v>31.4056</v>
      </c>
    </row>
    <row r="15" spans="1:14" x14ac:dyDescent="0.25">
      <c r="A15" s="17">
        <v>21</v>
      </c>
      <c r="B15" s="60">
        <v>44977</v>
      </c>
      <c r="C15" s="32"/>
      <c r="D15" s="80"/>
      <c r="E15" s="35">
        <v>1</v>
      </c>
      <c r="F15" s="80">
        <v>0.37</v>
      </c>
      <c r="G15" s="27" t="str">
        <f>INDEX('Stato patrimoniale'!J:J,MATCH(A15,'Stato patrimoniale'!A:A,0))</f>
        <v>USD</v>
      </c>
      <c r="H15" s="85">
        <f t="shared" si="0"/>
        <v>0.37</v>
      </c>
      <c r="I15" s="88">
        <f>INDEX('Stato patrimoniale'!N:N,MATCH(A15,'Stato patrimoniale'!A:A,0))</f>
        <v>0.26</v>
      </c>
      <c r="J15" s="93">
        <f t="shared" si="1"/>
        <v>9.6200000000000008E-2</v>
      </c>
      <c r="K15" s="59">
        <f t="shared" si="2"/>
        <v>0.27379999999999999</v>
      </c>
    </row>
    <row r="16" spans="1:14" x14ac:dyDescent="0.25">
      <c r="A16" s="17">
        <v>23</v>
      </c>
      <c r="B16" s="60">
        <v>45000</v>
      </c>
      <c r="C16" s="32"/>
      <c r="D16" s="80"/>
      <c r="E16" s="35">
        <v>1</v>
      </c>
      <c r="F16" s="80">
        <v>48.76</v>
      </c>
      <c r="G16" s="27" t="str">
        <f>INDEX('Stato patrimoniale'!J:J,MATCH(A16,'Stato patrimoniale'!A:A,0))</f>
        <v>USD</v>
      </c>
      <c r="H16" s="85">
        <f t="shared" si="0"/>
        <v>48.76</v>
      </c>
      <c r="I16" s="88">
        <f>INDEX('Stato patrimoniale'!N:N,MATCH(A16,'Stato patrimoniale'!A:A,0))</f>
        <v>0.26</v>
      </c>
      <c r="J16" s="93">
        <f t="shared" si="1"/>
        <v>12.6776</v>
      </c>
      <c r="K16" s="59">
        <f t="shared" si="2"/>
        <v>36.0824</v>
      </c>
    </row>
    <row r="17" spans="1:11" x14ac:dyDescent="0.25">
      <c r="A17" s="17">
        <v>21</v>
      </c>
      <c r="B17" s="60">
        <v>45070</v>
      </c>
      <c r="C17" s="32"/>
      <c r="D17" s="80"/>
      <c r="E17" s="35">
        <v>1</v>
      </c>
      <c r="F17" s="80">
        <v>0.38</v>
      </c>
      <c r="G17" s="27" t="str">
        <f>INDEX('Stato patrimoniale'!J:J,MATCH(A17,'Stato patrimoniale'!A:A,0))</f>
        <v>USD</v>
      </c>
      <c r="H17" s="85">
        <f t="shared" si="0"/>
        <v>0.38</v>
      </c>
      <c r="I17" s="88">
        <f>INDEX('Stato patrimoniale'!N:N,MATCH(A17,'Stato patrimoniale'!A:A,0))</f>
        <v>0.26</v>
      </c>
      <c r="J17" s="93">
        <f t="shared" si="1"/>
        <v>9.8799999999999999E-2</v>
      </c>
      <c r="K17" s="59">
        <f t="shared" si="2"/>
        <v>0.28120000000000001</v>
      </c>
    </row>
    <row r="18" spans="1:11" x14ac:dyDescent="0.25">
      <c r="A18" s="17">
        <v>20</v>
      </c>
      <c r="B18" s="60">
        <v>45070</v>
      </c>
      <c r="C18" s="32"/>
      <c r="D18" s="80">
        <v>0.88</v>
      </c>
      <c r="E18" s="35">
        <v>1</v>
      </c>
      <c r="F18" s="80"/>
      <c r="G18" s="27" t="str">
        <f>INDEX('Stato patrimoniale'!J:J,MATCH(A18,'Stato patrimoniale'!A:A,0))</f>
        <v>EUR</v>
      </c>
      <c r="H18" s="85">
        <f t="shared" si="0"/>
        <v>0.88</v>
      </c>
      <c r="I18" s="88">
        <f>INDEX('Stato patrimoniale'!N:N,MATCH(A18,'Stato patrimoniale'!A:A,0))</f>
        <v>0.26</v>
      </c>
      <c r="J18" s="93">
        <f t="shared" si="1"/>
        <v>0.2288</v>
      </c>
      <c r="K18" s="59">
        <f t="shared" si="2"/>
        <v>0.6512</v>
      </c>
    </row>
    <row r="19" spans="1:11" x14ac:dyDescent="0.25">
      <c r="A19" s="17">
        <v>23</v>
      </c>
      <c r="B19" s="60">
        <v>45089</v>
      </c>
      <c r="C19" s="32"/>
      <c r="D19" s="80"/>
      <c r="E19" s="35">
        <v>1</v>
      </c>
      <c r="F19" s="80">
        <v>42.42</v>
      </c>
      <c r="G19" s="27" t="str">
        <f>INDEX('Stato patrimoniale'!J:J,MATCH(A19,'Stato patrimoniale'!A:A,0))</f>
        <v>USD</v>
      </c>
      <c r="H19" s="85">
        <f t="shared" si="0"/>
        <v>42.42</v>
      </c>
      <c r="I19" s="88">
        <f>INDEX('Stato patrimoniale'!N:N,MATCH(A19,'Stato patrimoniale'!A:A,0))</f>
        <v>0.26</v>
      </c>
      <c r="J19" s="93">
        <f t="shared" si="1"/>
        <v>11.029200000000001</v>
      </c>
      <c r="K19" s="59">
        <f t="shared" si="2"/>
        <v>31.390799999999999</v>
      </c>
    </row>
    <row r="20" spans="1:11" x14ac:dyDescent="0.25">
      <c r="A20" s="17">
        <v>19</v>
      </c>
      <c r="B20" s="60">
        <v>45133</v>
      </c>
      <c r="C20" s="32"/>
      <c r="D20" s="80">
        <v>1.6</v>
      </c>
      <c r="E20" s="35">
        <v>1</v>
      </c>
      <c r="F20" s="80"/>
      <c r="G20" s="27" t="str">
        <f>INDEX('Stato patrimoniale'!J:J,MATCH(A20,'Stato patrimoniale'!A:A,0))</f>
        <v>EUR</v>
      </c>
      <c r="H20" s="85">
        <f t="shared" si="0"/>
        <v>1.6</v>
      </c>
      <c r="I20" s="88">
        <f>INDEX('Stato patrimoniale'!N:N,MATCH(A20,'Stato patrimoniale'!A:A,0))</f>
        <v>0.26</v>
      </c>
      <c r="J20" s="93">
        <f t="shared" si="1"/>
        <v>0.41600000000000004</v>
      </c>
      <c r="K20" s="59">
        <f t="shared" si="2"/>
        <v>1.1840000000000002</v>
      </c>
    </row>
    <row r="21" spans="1:11" x14ac:dyDescent="0.25">
      <c r="A21" s="17">
        <v>11</v>
      </c>
      <c r="B21" s="60">
        <v>45154</v>
      </c>
      <c r="C21" s="32"/>
      <c r="D21" s="80">
        <v>149.99</v>
      </c>
      <c r="E21" s="35">
        <v>0.91700000000000004</v>
      </c>
      <c r="F21" s="21"/>
      <c r="G21" s="27" t="str">
        <f>INDEX('Stato patrimoniale'!J:J,MATCH(A21,'Stato patrimoniale'!A:A,0))</f>
        <v>USD</v>
      </c>
      <c r="H21" s="85">
        <f t="shared" si="0"/>
        <v>137.54083000000003</v>
      </c>
      <c r="I21" s="88">
        <f>INDEX('Stato patrimoniale'!N:N,MATCH(A21,'Stato patrimoniale'!A:A,0))</f>
        <v>0.125</v>
      </c>
      <c r="J21" s="93">
        <f t="shared" si="1"/>
        <v>17.192603750000004</v>
      </c>
      <c r="K21" s="59">
        <f t="shared" si="2"/>
        <v>120.34822625000002</v>
      </c>
    </row>
    <row r="22" spans="1:11" x14ac:dyDescent="0.25">
      <c r="A22" s="17">
        <v>23</v>
      </c>
      <c r="B22" s="70">
        <v>45188</v>
      </c>
      <c r="E22" s="35">
        <v>1</v>
      </c>
      <c r="F22" s="79">
        <v>37.4</v>
      </c>
      <c r="G22" s="27" t="str">
        <f>INDEX('Stato patrimoniale'!J:J,MATCH(A22,'Stato patrimoniale'!A:A,0))</f>
        <v>USD</v>
      </c>
      <c r="H22" s="85">
        <f t="shared" si="0"/>
        <v>37.4</v>
      </c>
      <c r="I22" s="88">
        <f>INDEX('Stato patrimoniale'!N:N,MATCH(A22,'Stato patrimoniale'!A:A,0))</f>
        <v>0.26</v>
      </c>
      <c r="J22" s="93">
        <f t="shared" si="1"/>
        <v>9.7240000000000002</v>
      </c>
      <c r="K22" s="59">
        <f t="shared" si="2"/>
        <v>27.675999999999998</v>
      </c>
    </row>
    <row r="23" spans="1:11" x14ac:dyDescent="0.25">
      <c r="A23" s="17">
        <v>20</v>
      </c>
      <c r="B23" s="70">
        <v>45189</v>
      </c>
      <c r="D23" s="79">
        <v>4.5599999999999996</v>
      </c>
      <c r="E23" s="35">
        <v>1</v>
      </c>
      <c r="G23" s="27" t="str">
        <f>INDEX('Stato patrimoniale'!J:J,MATCH(A23,'Stato patrimoniale'!A:A,0))</f>
        <v>EUR</v>
      </c>
      <c r="H23" s="85">
        <f t="shared" si="0"/>
        <v>4.5599999999999996</v>
      </c>
      <c r="I23" s="88">
        <f>INDEX('Stato patrimoniale'!N:N,MATCH(A23,'Stato patrimoniale'!A:A,0))</f>
        <v>0.26</v>
      </c>
      <c r="J23" s="93">
        <f t="shared" si="1"/>
        <v>1.1856</v>
      </c>
      <c r="K23" s="59">
        <f t="shared" si="2"/>
        <v>3.3743999999999996</v>
      </c>
    </row>
    <row r="24" spans="1:11" x14ac:dyDescent="0.25">
      <c r="A24" s="17">
        <v>16</v>
      </c>
      <c r="B24" s="70">
        <v>45189</v>
      </c>
      <c r="D24" s="79">
        <v>0.24</v>
      </c>
      <c r="E24" s="35">
        <v>1</v>
      </c>
      <c r="G24" s="27" t="str">
        <f>INDEX('Stato patrimoniale'!J:J,MATCH(A24,'Stato patrimoniale'!A:A,0))</f>
        <v>EUR</v>
      </c>
      <c r="H24" s="85">
        <f t="shared" si="0"/>
        <v>0.24</v>
      </c>
      <c r="I24" s="88">
        <f>INDEX('Stato patrimoniale'!N:N,MATCH(A24,'Stato patrimoniale'!A:A,0))</f>
        <v>0.26</v>
      </c>
      <c r="J24" s="93">
        <f t="shared" si="1"/>
        <v>6.2399999999999997E-2</v>
      </c>
      <c r="K24" s="59">
        <f t="shared" si="2"/>
        <v>0.17759999999999998</v>
      </c>
    </row>
    <row r="25" spans="1:11" x14ac:dyDescent="0.25">
      <c r="A25" s="17">
        <v>6</v>
      </c>
      <c r="B25" s="70">
        <v>45196</v>
      </c>
      <c r="D25" s="79">
        <v>2.0819999999999999</v>
      </c>
      <c r="E25" s="35">
        <v>1</v>
      </c>
      <c r="G25" s="27" t="str">
        <f>INDEX('Stato patrimoniale'!J:J,MATCH(A25,'Stato patrimoniale'!A:A,0))</f>
        <v>EUR</v>
      </c>
      <c r="H25" s="85">
        <f t="shared" si="0"/>
        <v>2.0819999999999999</v>
      </c>
      <c r="I25" s="88">
        <f>INDEX('Stato patrimoniale'!N:N,MATCH(A25,'Stato patrimoniale'!A:A,0))</f>
        <v>0.26</v>
      </c>
      <c r="J25" s="93">
        <f t="shared" si="1"/>
        <v>0.54132000000000002</v>
      </c>
      <c r="K25" s="59">
        <f t="shared" si="2"/>
        <v>1.5406799999999998</v>
      </c>
    </row>
    <row r="26" spans="1:11" x14ac:dyDescent="0.25">
      <c r="A26" s="17">
        <v>5</v>
      </c>
      <c r="B26" s="70">
        <v>45196</v>
      </c>
      <c r="D26" s="79">
        <v>1.3879999999999999</v>
      </c>
      <c r="E26" s="35">
        <v>1</v>
      </c>
      <c r="G26" s="27" t="str">
        <f>INDEX('Stato patrimoniale'!J:J,MATCH(A26,'Stato patrimoniale'!A:A,0))</f>
        <v>EUR</v>
      </c>
      <c r="H26" s="85">
        <f t="shared" si="0"/>
        <v>1.3879999999999999</v>
      </c>
      <c r="I26" s="88">
        <f>INDEX('Stato patrimoniale'!N:N,MATCH(A26,'Stato patrimoniale'!A:A,0))</f>
        <v>0.26</v>
      </c>
      <c r="J26" s="93">
        <f t="shared" si="1"/>
        <v>0.36087999999999998</v>
      </c>
      <c r="K26" s="59">
        <f t="shared" si="2"/>
        <v>1.02712</v>
      </c>
    </row>
    <row r="27" spans="1:11" x14ac:dyDescent="0.25">
      <c r="A27" s="17">
        <v>3</v>
      </c>
      <c r="B27" s="70">
        <v>45196</v>
      </c>
      <c r="D27" s="79">
        <v>6.33</v>
      </c>
      <c r="E27" s="35">
        <v>1</v>
      </c>
      <c r="G27" s="27" t="str">
        <f>INDEX('Stato patrimoniale'!J:J,MATCH(A27,'Stato patrimoniale'!A:A,0))</f>
        <v>EUR</v>
      </c>
      <c r="H27" s="85">
        <f t="shared" si="0"/>
        <v>6.33</v>
      </c>
      <c r="I27" s="88">
        <f>INDEX('Stato patrimoniale'!N:N,MATCH(A27,'Stato patrimoniale'!A:A,0))</f>
        <v>0.26</v>
      </c>
      <c r="J27" s="93">
        <f t="shared" si="1"/>
        <v>1.6458000000000002</v>
      </c>
      <c r="K27" s="59">
        <f t="shared" si="2"/>
        <v>4.6841999999999997</v>
      </c>
    </row>
    <row r="28" spans="1:11" x14ac:dyDescent="0.25">
      <c r="A28" s="17">
        <v>25</v>
      </c>
      <c r="B28" s="70">
        <v>45198</v>
      </c>
      <c r="D28" s="79">
        <v>31.3</v>
      </c>
      <c r="E28" s="35">
        <v>1</v>
      </c>
      <c r="G28" s="27" t="str">
        <f>INDEX('Stato patrimoniale'!J:J,MATCH(A28,'Stato patrimoniale'!A:A,0))</f>
        <v>EUR</v>
      </c>
      <c r="H28" s="85">
        <f t="shared" si="0"/>
        <v>31.3</v>
      </c>
      <c r="I28" s="88">
        <f>INDEX('Stato patrimoniale'!N:N,MATCH(A28,'Stato patrimoniale'!A:A,0))</f>
        <v>0.125</v>
      </c>
      <c r="J28" s="93">
        <f t="shared" si="1"/>
        <v>3.9125000000000001</v>
      </c>
      <c r="K28" s="59">
        <f t="shared" si="2"/>
        <v>27.387499999999999</v>
      </c>
    </row>
    <row r="29" spans="1:11" x14ac:dyDescent="0.25">
      <c r="A29" s="17">
        <v>12</v>
      </c>
      <c r="B29" s="70">
        <v>45201</v>
      </c>
      <c r="D29" s="79">
        <v>112.5</v>
      </c>
      <c r="E29" s="35">
        <v>1</v>
      </c>
      <c r="G29" s="27" t="str">
        <f>INDEX('Stato patrimoniale'!J:J,MATCH(A29,'Stato patrimoniale'!A:A,0))</f>
        <v>EUR</v>
      </c>
      <c r="H29" s="85">
        <f t="shared" si="0"/>
        <v>112.5</v>
      </c>
      <c r="I29" s="88">
        <f>INDEX('Stato patrimoniale'!N:N,MATCH(A29,'Stato patrimoniale'!A:A,0))</f>
        <v>0.125</v>
      </c>
      <c r="J29" s="93">
        <f t="shared" si="1"/>
        <v>14.0625</v>
      </c>
      <c r="K29" s="59">
        <f t="shared" si="2"/>
        <v>98.4375</v>
      </c>
    </row>
    <row r="30" spans="1:11" x14ac:dyDescent="0.25">
      <c r="A30" s="17">
        <v>26</v>
      </c>
      <c r="B30" s="70">
        <v>45245</v>
      </c>
      <c r="E30" s="35">
        <v>1</v>
      </c>
      <c r="F30" s="79">
        <v>48.86</v>
      </c>
      <c r="G30" s="27" t="str">
        <f>INDEX('Stato patrimoniale'!J:J,MATCH(A30,'Stato patrimoniale'!A:A,0))</f>
        <v>USD</v>
      </c>
      <c r="H30" s="85">
        <f t="shared" si="0"/>
        <v>48.86</v>
      </c>
      <c r="I30" s="88">
        <f>INDEX('Stato patrimoniale'!N:N,MATCH(A30,'Stato patrimoniale'!A:A,0))</f>
        <v>0.125</v>
      </c>
      <c r="J30" s="93">
        <f t="shared" si="1"/>
        <v>6.1074999999999999</v>
      </c>
      <c r="K30" s="59">
        <f t="shared" si="2"/>
        <v>42.752499999999998</v>
      </c>
    </row>
    <row r="31" spans="1:11" x14ac:dyDescent="0.25">
      <c r="A31" s="17">
        <v>21</v>
      </c>
      <c r="B31" s="70">
        <v>45250</v>
      </c>
      <c r="E31" s="35">
        <v>1</v>
      </c>
      <c r="F31" s="79">
        <v>0.38</v>
      </c>
      <c r="G31" s="27" t="str">
        <f>INDEX('Stato patrimoniale'!J:J,MATCH(A31,'Stato patrimoniale'!A:A,0))</f>
        <v>USD</v>
      </c>
      <c r="H31" s="85">
        <f t="shared" si="0"/>
        <v>0.38</v>
      </c>
      <c r="I31" s="88">
        <f>INDEX('Stato patrimoniale'!N:N,MATCH(A31,'Stato patrimoniale'!A:A,0))</f>
        <v>0.26</v>
      </c>
      <c r="J31" s="93">
        <f t="shared" si="1"/>
        <v>9.8799999999999999E-2</v>
      </c>
      <c r="K31" s="59">
        <f t="shared" si="2"/>
        <v>0.28120000000000001</v>
      </c>
    </row>
    <row r="32" spans="1:11" x14ac:dyDescent="0.25">
      <c r="A32" s="17">
        <v>20</v>
      </c>
      <c r="B32" s="70">
        <v>45252</v>
      </c>
      <c r="D32" s="79">
        <v>4.37</v>
      </c>
      <c r="E32" s="35">
        <v>1</v>
      </c>
      <c r="G32" s="27" t="str">
        <f>INDEX('Stato patrimoniale'!J:J,MATCH(A32,'Stato patrimoniale'!A:A,0))</f>
        <v>EUR</v>
      </c>
      <c r="H32" s="85">
        <f t="shared" si="0"/>
        <v>4.37</v>
      </c>
      <c r="I32" s="88">
        <f>INDEX('Stato patrimoniale'!N:N,MATCH(A32,'Stato patrimoniale'!A:A,0))</f>
        <v>0.26</v>
      </c>
      <c r="J32" s="93">
        <f t="shared" si="1"/>
        <v>1.1362000000000001</v>
      </c>
      <c r="K32" s="59">
        <f t="shared" si="2"/>
        <v>3.2338</v>
      </c>
    </row>
    <row r="33" spans="1:11" x14ac:dyDescent="0.25">
      <c r="A33" s="17">
        <v>17</v>
      </c>
      <c r="B33" s="70">
        <v>45252</v>
      </c>
      <c r="D33" s="79">
        <v>14.4</v>
      </c>
      <c r="E33" s="35">
        <v>1</v>
      </c>
      <c r="G33" s="27" t="str">
        <f>INDEX('Stato patrimoniale'!J:J,MATCH(A33,'Stato patrimoniale'!A:A,0))</f>
        <v>EUR</v>
      </c>
      <c r="H33" s="85">
        <f t="shared" si="0"/>
        <v>14.4</v>
      </c>
      <c r="I33" s="88">
        <f>INDEX('Stato patrimoniale'!N:N,MATCH(A33,'Stato patrimoniale'!A:A,0))</f>
        <v>0.26</v>
      </c>
      <c r="J33" s="93">
        <f t="shared" si="1"/>
        <v>3.7440000000000002</v>
      </c>
      <c r="K33" s="59">
        <f t="shared" si="2"/>
        <v>10.656000000000001</v>
      </c>
    </row>
    <row r="34" spans="1:11" x14ac:dyDescent="0.25">
      <c r="A34" s="17">
        <v>15</v>
      </c>
      <c r="B34" s="70">
        <v>45252</v>
      </c>
      <c r="D34" s="79">
        <v>5.93</v>
      </c>
      <c r="E34" s="35">
        <v>1</v>
      </c>
      <c r="G34" s="27" t="str">
        <f>INDEX('Stato patrimoniale'!J:J,MATCH(A34,'Stato patrimoniale'!A:A,0))</f>
        <v>EUR</v>
      </c>
      <c r="H34" s="85">
        <f t="shared" si="0"/>
        <v>5.93</v>
      </c>
      <c r="I34" s="88">
        <f>INDEX('Stato patrimoniale'!N:N,MATCH(A34,'Stato patrimoniale'!A:A,0))</f>
        <v>0.26</v>
      </c>
      <c r="J34" s="93">
        <f t="shared" si="1"/>
        <v>1.5418000000000001</v>
      </c>
      <c r="K34" s="59">
        <f t="shared" si="2"/>
        <v>4.3881999999999994</v>
      </c>
    </row>
    <row r="35" spans="1:11" x14ac:dyDescent="0.25">
      <c r="A35" s="17">
        <v>4</v>
      </c>
      <c r="B35" s="70">
        <v>45259</v>
      </c>
      <c r="D35" s="79">
        <v>2.0299999999999998</v>
      </c>
      <c r="E35" s="35">
        <v>1</v>
      </c>
      <c r="G35" s="27" t="str">
        <f>INDEX('Stato patrimoniale'!J:J,MATCH(A35,'Stato patrimoniale'!A:A,0))</f>
        <v>EUR</v>
      </c>
      <c r="H35" s="85">
        <f t="shared" si="0"/>
        <v>2.0299999999999998</v>
      </c>
      <c r="I35" s="88">
        <f>INDEX('Stato patrimoniale'!N:N,MATCH(A35,'Stato patrimoniale'!A:A,0))</f>
        <v>0.26</v>
      </c>
      <c r="J35" s="93">
        <f t="shared" si="1"/>
        <v>0.52779999999999994</v>
      </c>
      <c r="K35" s="59">
        <f t="shared" si="2"/>
        <v>1.5021999999999998</v>
      </c>
    </row>
    <row r="36" spans="1:11" x14ac:dyDescent="0.25">
      <c r="A36" s="17">
        <v>10</v>
      </c>
      <c r="B36" s="70">
        <v>45273</v>
      </c>
      <c r="D36" s="79">
        <v>162.5</v>
      </c>
      <c r="E36" s="35">
        <v>1</v>
      </c>
      <c r="G36" s="27" t="str">
        <f>INDEX('Stato patrimoniale'!J:J,MATCH(A36,'Stato patrimoniale'!A:A,0))</f>
        <v>EUR</v>
      </c>
      <c r="H36" s="85">
        <f t="shared" si="0"/>
        <v>162.5</v>
      </c>
      <c r="I36" s="88">
        <f>INDEX('Stato patrimoniale'!N:N,MATCH(A36,'Stato patrimoniale'!A:A,0))</f>
        <v>0.125</v>
      </c>
      <c r="J36" s="93">
        <f t="shared" si="1"/>
        <v>20.3125</v>
      </c>
      <c r="K36" s="59">
        <f t="shared" si="2"/>
        <v>142.1875</v>
      </c>
    </row>
    <row r="37" spans="1:11" x14ac:dyDescent="0.25">
      <c r="A37" s="17">
        <v>16</v>
      </c>
      <c r="B37" s="70">
        <v>45273</v>
      </c>
      <c r="D37" s="79">
        <v>0.24</v>
      </c>
      <c r="E37" s="35">
        <v>1</v>
      </c>
      <c r="G37" s="27" t="str">
        <f>INDEX('Stato patrimoniale'!J:J,MATCH(A37,'Stato patrimoniale'!A:A,0))</f>
        <v>EUR</v>
      </c>
      <c r="H37" s="85">
        <f t="shared" si="0"/>
        <v>0.24</v>
      </c>
      <c r="I37" s="88">
        <f>INDEX('Stato patrimoniale'!N:N,MATCH(A37,'Stato patrimoniale'!A:A,0))</f>
        <v>0.26</v>
      </c>
      <c r="J37" s="93">
        <f t="shared" si="1"/>
        <v>6.2399999999999997E-2</v>
      </c>
      <c r="K37" s="59">
        <f t="shared" si="2"/>
        <v>0.17759999999999998</v>
      </c>
    </row>
    <row r="38" spans="1:11" x14ac:dyDescent="0.25">
      <c r="A38" s="17">
        <v>23</v>
      </c>
      <c r="B38" s="70">
        <v>45279</v>
      </c>
      <c r="E38" s="35">
        <v>1</v>
      </c>
      <c r="F38" s="8">
        <v>40.29</v>
      </c>
      <c r="G38" s="27" t="str">
        <f>INDEX('Stato patrimoniale'!J:J,MATCH(A38,'Stato patrimoniale'!A:A,0))</f>
        <v>USD</v>
      </c>
      <c r="H38" s="85">
        <f t="shared" si="0"/>
        <v>40.29</v>
      </c>
      <c r="I38" s="88">
        <f>INDEX('Stato patrimoniale'!N:N,MATCH(A38,'Stato patrimoniale'!A:A,0))</f>
        <v>0.26</v>
      </c>
      <c r="J38" s="93">
        <f t="shared" si="1"/>
        <v>10.4754</v>
      </c>
      <c r="K38" s="59">
        <f t="shared" si="2"/>
        <v>29.814599999999999</v>
      </c>
    </row>
    <row r="39" spans="1:11" x14ac:dyDescent="0.25">
      <c r="A39" s="17">
        <v>3</v>
      </c>
      <c r="B39" s="70">
        <v>45287</v>
      </c>
      <c r="D39" s="79">
        <v>1.6</v>
      </c>
      <c r="E39" s="35">
        <v>1</v>
      </c>
      <c r="G39" s="27" t="str">
        <f>INDEX('Stato patrimoniale'!J:J,MATCH(A39,'Stato patrimoniale'!A:A,0))</f>
        <v>EUR</v>
      </c>
      <c r="H39" s="85">
        <f t="shared" si="0"/>
        <v>1.6</v>
      </c>
      <c r="I39" s="88">
        <f>INDEX('Stato patrimoniale'!N:N,MATCH(A39,'Stato patrimoniale'!A:A,0))</f>
        <v>0.26</v>
      </c>
      <c r="J39" s="93">
        <f t="shared" si="1"/>
        <v>0.41600000000000004</v>
      </c>
      <c r="K39" s="59">
        <f t="shared" si="2"/>
        <v>1.1840000000000002</v>
      </c>
    </row>
    <row r="40" spans="1:11" x14ac:dyDescent="0.25">
      <c r="A40" s="17">
        <v>5</v>
      </c>
      <c r="B40" s="70">
        <v>45289</v>
      </c>
      <c r="D40" s="79">
        <v>3.34</v>
      </c>
      <c r="E40" s="35">
        <v>1</v>
      </c>
      <c r="G40" s="27" t="str">
        <f>INDEX('Stato patrimoniale'!J:J,MATCH(A40,'Stato patrimoniale'!A:A,0))</f>
        <v>EUR</v>
      </c>
      <c r="H40" s="85">
        <f t="shared" si="0"/>
        <v>3.34</v>
      </c>
      <c r="I40" s="88">
        <f>INDEX('Stato patrimoniale'!N:N,MATCH(A40,'Stato patrimoniale'!A:A,0))</f>
        <v>0.26</v>
      </c>
      <c r="J40" s="93">
        <f t="shared" si="1"/>
        <v>0.86839999999999995</v>
      </c>
      <c r="K40" s="59">
        <f t="shared" si="2"/>
        <v>2.4716</v>
      </c>
    </row>
    <row r="41" spans="1:11" x14ac:dyDescent="0.25">
      <c r="A41" s="17">
        <v>29</v>
      </c>
      <c r="B41" s="70">
        <v>45301</v>
      </c>
      <c r="D41" s="79">
        <v>51.25</v>
      </c>
      <c r="E41" s="35">
        <v>1</v>
      </c>
      <c r="G41" s="27" t="str">
        <f>INDEX('Stato patrimoniale'!J:J,MATCH(A41,'Stato patrimoniale'!A:A,0))</f>
        <v>EUR</v>
      </c>
      <c r="H41" s="85">
        <f t="shared" si="0"/>
        <v>51.25</v>
      </c>
      <c r="I41" s="88">
        <f>INDEX('Stato patrimoniale'!N:N,MATCH(A41,'Stato patrimoniale'!A:A,0))</f>
        <v>0.125</v>
      </c>
      <c r="J41" s="93">
        <f t="shared" si="1"/>
        <v>6.40625</v>
      </c>
      <c r="K41" s="59">
        <f t="shared" si="2"/>
        <v>44.84375</v>
      </c>
    </row>
    <row r="42" spans="1:11" x14ac:dyDescent="0.25">
      <c r="A42" s="17">
        <v>19</v>
      </c>
      <c r="B42" s="70">
        <v>45315</v>
      </c>
      <c r="D42" s="79">
        <v>8.6</v>
      </c>
      <c r="E42" s="35">
        <v>1</v>
      </c>
      <c r="G42" s="27" t="str">
        <f>INDEX('Stato patrimoniale'!J:J,MATCH(A42,'Stato patrimoniale'!A:A,0))</f>
        <v>EUR</v>
      </c>
      <c r="H42" s="85">
        <f t="shared" si="0"/>
        <v>8.6</v>
      </c>
      <c r="I42" s="88">
        <f>INDEX('Stato patrimoniale'!N:N,MATCH(A42,'Stato patrimoniale'!A:A,0))</f>
        <v>0.26</v>
      </c>
      <c r="J42" s="93">
        <f t="shared" si="1"/>
        <v>2.2359999999999998</v>
      </c>
      <c r="K42" s="59">
        <f t="shared" si="2"/>
        <v>6.3639999999999999</v>
      </c>
    </row>
    <row r="43" spans="1:11" x14ac:dyDescent="0.25">
      <c r="A43" s="17">
        <v>11</v>
      </c>
      <c r="B43" s="70">
        <v>45338</v>
      </c>
      <c r="E43" s="35">
        <v>1</v>
      </c>
      <c r="F43" s="79">
        <v>139.63</v>
      </c>
      <c r="G43" s="27" t="str">
        <f>INDEX('Stato patrimoniale'!J:J,MATCH(A43,'Stato patrimoniale'!A:A,0))</f>
        <v>USD</v>
      </c>
      <c r="H43" s="85">
        <f t="shared" si="0"/>
        <v>139.63</v>
      </c>
      <c r="I43" s="88">
        <f>INDEX('Stato patrimoniale'!N:N,MATCH(A43,'Stato patrimoniale'!A:A,0))</f>
        <v>0.125</v>
      </c>
      <c r="J43" s="93">
        <f t="shared" si="1"/>
        <v>17.453749999999999</v>
      </c>
      <c r="K43" s="59">
        <f t="shared" si="2"/>
        <v>122.17625</v>
      </c>
    </row>
    <row r="44" spans="1:11" x14ac:dyDescent="0.25">
      <c r="A44" s="17">
        <v>21</v>
      </c>
      <c r="B44" s="70">
        <v>45345</v>
      </c>
      <c r="E44" s="35">
        <v>1</v>
      </c>
      <c r="F44" s="8">
        <v>0.38</v>
      </c>
      <c r="G44" s="27" t="str">
        <f>INDEX('Stato patrimoniale'!J:J,MATCH(A44,'Stato patrimoniale'!A:A,0))</f>
        <v>USD</v>
      </c>
      <c r="H44" s="85">
        <f t="shared" si="0"/>
        <v>0.38</v>
      </c>
      <c r="I44" s="88">
        <f>INDEX('Stato patrimoniale'!N:N,MATCH(A44,'Stato patrimoniale'!A:A,0))</f>
        <v>0.26</v>
      </c>
      <c r="J44" s="93">
        <f t="shared" si="1"/>
        <v>9.8799999999999999E-2</v>
      </c>
      <c r="K44" s="59">
        <f t="shared" si="2"/>
        <v>0.28120000000000001</v>
      </c>
    </row>
    <row r="45" spans="1:11" x14ac:dyDescent="0.25">
      <c r="A45" s="17">
        <v>23</v>
      </c>
      <c r="B45" s="70">
        <v>45372</v>
      </c>
      <c r="E45" s="35">
        <v>1</v>
      </c>
      <c r="F45" s="8">
        <v>44.42</v>
      </c>
      <c r="G45" s="27" t="str">
        <f>INDEX('Stato patrimoniale'!J:J,MATCH(A45,'Stato patrimoniale'!A:A,0))</f>
        <v>USD</v>
      </c>
      <c r="H45" s="85">
        <f t="shared" si="0"/>
        <v>44.42</v>
      </c>
      <c r="I45" s="88">
        <f>INDEX('Stato patrimoniale'!N:N,MATCH(A45,'Stato patrimoniale'!A:A,0))</f>
        <v>0.26</v>
      </c>
      <c r="J45" s="93">
        <f t="shared" si="1"/>
        <v>11.549200000000001</v>
      </c>
      <c r="K45" s="59">
        <f t="shared" si="2"/>
        <v>32.870800000000003</v>
      </c>
    </row>
    <row r="46" spans="1:11" x14ac:dyDescent="0.25">
      <c r="A46" s="17">
        <v>20</v>
      </c>
      <c r="B46" s="70">
        <v>45372</v>
      </c>
      <c r="D46" s="79">
        <v>4.5599999999999996</v>
      </c>
      <c r="E46" s="35">
        <v>1</v>
      </c>
      <c r="G46" s="27" t="str">
        <f>INDEX('Stato patrimoniale'!J:J,MATCH(A46,'Stato patrimoniale'!A:A,0))</f>
        <v>EUR</v>
      </c>
      <c r="H46" s="85">
        <f t="shared" si="0"/>
        <v>4.5599999999999996</v>
      </c>
      <c r="I46" s="88">
        <f>INDEX('Stato patrimoniale'!N:N,MATCH(A46,'Stato patrimoniale'!A:A,0))</f>
        <v>0.26</v>
      </c>
      <c r="J46" s="93">
        <f t="shared" si="1"/>
        <v>1.1856</v>
      </c>
      <c r="K46" s="59">
        <f t="shared" si="2"/>
        <v>3.3743999999999996</v>
      </c>
    </row>
    <row r="47" spans="1:11" x14ac:dyDescent="0.25">
      <c r="A47" s="17">
        <v>16</v>
      </c>
      <c r="B47" s="70">
        <v>45372</v>
      </c>
      <c r="D47" s="79">
        <v>0.24</v>
      </c>
      <c r="E47" s="35">
        <v>1</v>
      </c>
      <c r="G47" s="27" t="str">
        <f>INDEX('Stato patrimoniale'!J:J,MATCH(A47,'Stato patrimoniale'!A:A,0))</f>
        <v>EUR</v>
      </c>
      <c r="H47" s="85">
        <f t="shared" si="0"/>
        <v>0.24</v>
      </c>
      <c r="I47" s="88">
        <f>INDEX('Stato patrimoniale'!N:N,MATCH(A47,'Stato patrimoniale'!A:A,0))</f>
        <v>0.26</v>
      </c>
      <c r="J47" s="93">
        <f t="shared" si="1"/>
        <v>6.2399999999999997E-2</v>
      </c>
      <c r="K47" s="59">
        <f t="shared" si="2"/>
        <v>0.17759999999999998</v>
      </c>
    </row>
    <row r="48" spans="1:11" x14ac:dyDescent="0.25">
      <c r="A48" s="17">
        <v>5</v>
      </c>
      <c r="B48" s="70">
        <v>45379</v>
      </c>
      <c r="D48" s="79">
        <v>3.48</v>
      </c>
      <c r="E48" s="35">
        <v>1</v>
      </c>
      <c r="G48" s="27" t="str">
        <f>INDEX('Stato patrimoniale'!J:J,MATCH(A48,'Stato patrimoniale'!A:A,0))</f>
        <v>EUR</v>
      </c>
      <c r="H48" s="85">
        <f t="shared" si="0"/>
        <v>3.48</v>
      </c>
      <c r="I48" s="88">
        <f>INDEX('Stato patrimoniale'!N:N,MATCH(A48,'Stato patrimoniale'!A:A,0))</f>
        <v>0.26</v>
      </c>
      <c r="J48" s="93">
        <f t="shared" si="1"/>
        <v>0.90480000000000005</v>
      </c>
      <c r="K48" s="59">
        <f t="shared" si="2"/>
        <v>2.5751999999999997</v>
      </c>
    </row>
    <row r="49" spans="1:11" x14ac:dyDescent="0.25">
      <c r="A49" s="17">
        <v>3</v>
      </c>
      <c r="B49" s="70">
        <v>45379</v>
      </c>
      <c r="D49" s="79">
        <v>1.39</v>
      </c>
      <c r="E49" s="35">
        <v>1</v>
      </c>
      <c r="G49" s="27" t="str">
        <f>INDEX('Stato patrimoniale'!J:J,MATCH(A49,'Stato patrimoniale'!A:A,0))</f>
        <v>EUR</v>
      </c>
      <c r="H49" s="85">
        <f t="shared" si="0"/>
        <v>1.39</v>
      </c>
      <c r="I49" s="88">
        <f>INDEX('Stato patrimoniale'!N:N,MATCH(A49,'Stato patrimoniale'!A:A,0))</f>
        <v>0.26</v>
      </c>
      <c r="J49" s="93">
        <f t="shared" si="1"/>
        <v>0.3614</v>
      </c>
      <c r="K49" s="59">
        <f t="shared" si="2"/>
        <v>1.0286</v>
      </c>
    </row>
    <row r="50" spans="1:11" x14ac:dyDescent="0.25">
      <c r="A50" s="17">
        <v>12</v>
      </c>
      <c r="B50" s="70">
        <v>45384</v>
      </c>
      <c r="D50" s="79">
        <v>112.5</v>
      </c>
      <c r="E50" s="35">
        <v>1</v>
      </c>
      <c r="G50" s="27" t="str">
        <f>INDEX('Stato patrimoniale'!J:J,MATCH(A50,'Stato patrimoniale'!A:A,0))</f>
        <v>EUR</v>
      </c>
      <c r="H50" s="85">
        <f t="shared" si="0"/>
        <v>112.5</v>
      </c>
      <c r="I50" s="88">
        <f>INDEX('Stato patrimoniale'!N:N,MATCH(A50,'Stato patrimoniale'!A:A,0))</f>
        <v>0.125</v>
      </c>
      <c r="J50" s="93">
        <f t="shared" si="1"/>
        <v>14.0625</v>
      </c>
      <c r="K50" s="59">
        <f t="shared" si="2"/>
        <v>98.4375</v>
      </c>
    </row>
    <row r="51" spans="1:11" x14ac:dyDescent="0.25">
      <c r="A51" s="17">
        <v>25</v>
      </c>
      <c r="B51" s="70">
        <v>45384</v>
      </c>
      <c r="D51" s="79">
        <v>90</v>
      </c>
      <c r="E51" s="35">
        <v>1</v>
      </c>
      <c r="G51" s="27" t="str">
        <f>INDEX('Stato patrimoniale'!J:J,MATCH(A51,'Stato patrimoniale'!A:A,0))</f>
        <v>EUR</v>
      </c>
      <c r="H51" s="85">
        <f t="shared" si="0"/>
        <v>90</v>
      </c>
      <c r="I51" s="88">
        <f>INDEX('Stato patrimoniale'!N:N,MATCH(A51,'Stato patrimoniale'!A:A,0))</f>
        <v>0.125</v>
      </c>
      <c r="J51" s="93">
        <f t="shared" si="1"/>
        <v>11.25</v>
      </c>
      <c r="K51" s="59">
        <f t="shared" si="2"/>
        <v>78.75</v>
      </c>
    </row>
    <row r="52" spans="1:11" x14ac:dyDescent="0.25">
      <c r="A52" s="17">
        <v>29</v>
      </c>
      <c r="B52" s="70">
        <v>45392</v>
      </c>
      <c r="D52" s="79">
        <v>51.25</v>
      </c>
      <c r="E52" s="35">
        <v>1</v>
      </c>
      <c r="G52" s="27" t="str">
        <f>INDEX('Stato patrimoniale'!J:J,MATCH(A52,'Stato patrimoniale'!A:A,0))</f>
        <v>EUR</v>
      </c>
      <c r="H52" s="85">
        <f t="shared" si="0"/>
        <v>51.25</v>
      </c>
      <c r="I52" s="88">
        <f>INDEX('Stato patrimoniale'!N:N,MATCH(A52,'Stato patrimoniale'!A:A,0))</f>
        <v>0.125</v>
      </c>
      <c r="J52" s="93">
        <f t="shared" si="1"/>
        <v>6.40625</v>
      </c>
      <c r="K52" s="59">
        <f t="shared" si="2"/>
        <v>44.84375</v>
      </c>
    </row>
    <row r="53" spans="1:11" x14ac:dyDescent="0.25">
      <c r="A53" s="17">
        <v>14</v>
      </c>
      <c r="B53" s="70">
        <v>45406</v>
      </c>
      <c r="D53" s="79">
        <v>19.829999999999998</v>
      </c>
      <c r="E53" s="35">
        <v>1</v>
      </c>
      <c r="G53" s="27" t="str">
        <f>INDEX('Stato patrimoniale'!J:J,MATCH(A53,'Stato patrimoniale'!A:A,0))</f>
        <v>EUR</v>
      </c>
      <c r="H53" s="85">
        <f t="shared" si="0"/>
        <v>19.829999999999998</v>
      </c>
      <c r="I53" s="88">
        <f>INDEX('Stato patrimoniale'!N:N,MATCH(A53,'Stato patrimoniale'!A:A,0))</f>
        <v>0.26</v>
      </c>
      <c r="J53" s="93">
        <f t="shared" si="1"/>
        <v>5.1558000000000002</v>
      </c>
      <c r="K53" s="59">
        <f t="shared" si="2"/>
        <v>14.674199999999999</v>
      </c>
    </row>
    <row r="54" spans="1:11" x14ac:dyDescent="0.25">
      <c r="A54" s="17">
        <v>26</v>
      </c>
      <c r="B54" s="70">
        <v>45428</v>
      </c>
      <c r="E54" s="35">
        <v>1</v>
      </c>
      <c r="F54" s="8">
        <v>48.9</v>
      </c>
      <c r="G54" s="27" t="str">
        <f>INDEX('Stato patrimoniale'!J:J,MATCH(A54,'Stato patrimoniale'!A:A,0))</f>
        <v>USD</v>
      </c>
      <c r="H54" s="85">
        <f t="shared" si="0"/>
        <v>48.9</v>
      </c>
      <c r="I54" s="88">
        <f>INDEX('Stato patrimoniale'!N:N,MATCH(A54,'Stato patrimoniale'!A:A,0))</f>
        <v>0.125</v>
      </c>
      <c r="J54" s="93">
        <f t="shared" si="1"/>
        <v>6.1124999999999998</v>
      </c>
      <c r="K54" s="59">
        <f t="shared" si="2"/>
        <v>42.787500000000001</v>
      </c>
    </row>
    <row r="55" spans="1:11" x14ac:dyDescent="0.25">
      <c r="A55" s="17">
        <v>21</v>
      </c>
      <c r="B55" s="70">
        <v>45432</v>
      </c>
      <c r="E55" s="35">
        <v>1</v>
      </c>
      <c r="F55" s="8">
        <v>0.4</v>
      </c>
      <c r="G55" s="27" t="str">
        <f>INDEX('Stato patrimoniale'!J:J,MATCH(A55,'Stato patrimoniale'!A:A,0))</f>
        <v>USD</v>
      </c>
      <c r="H55" s="85">
        <f t="shared" si="0"/>
        <v>0.4</v>
      </c>
      <c r="I55" s="88">
        <f>INDEX('Stato patrimoniale'!N:N,MATCH(A55,'Stato patrimoniale'!A:A,0))</f>
        <v>0.26</v>
      </c>
      <c r="J55" s="93">
        <f t="shared" si="1"/>
        <v>0.10400000000000001</v>
      </c>
      <c r="K55" s="59">
        <f t="shared" si="2"/>
        <v>0.29600000000000004</v>
      </c>
    </row>
    <row r="56" spans="1:11" x14ac:dyDescent="0.25">
      <c r="A56" s="17">
        <v>17</v>
      </c>
      <c r="B56" s="70">
        <v>45434</v>
      </c>
      <c r="D56" s="79">
        <v>15.2</v>
      </c>
      <c r="E56" s="35">
        <v>1</v>
      </c>
      <c r="G56" s="27" t="str">
        <f>INDEX('Stato patrimoniale'!J:J,MATCH(A56,'Stato patrimoniale'!A:A,0))</f>
        <v>EUR</v>
      </c>
      <c r="H56" s="85">
        <f t="shared" si="0"/>
        <v>15.2</v>
      </c>
      <c r="I56" s="88">
        <f>INDEX('Stato patrimoniale'!N:N,MATCH(A56,'Stato patrimoniale'!A:A,0))</f>
        <v>0.26</v>
      </c>
      <c r="J56" s="93">
        <f t="shared" si="1"/>
        <v>3.952</v>
      </c>
      <c r="K56" s="59">
        <f t="shared" si="2"/>
        <v>11.247999999999999</v>
      </c>
    </row>
    <row r="57" spans="1:11" x14ac:dyDescent="0.25">
      <c r="A57" s="17">
        <v>20</v>
      </c>
      <c r="B57" s="70">
        <v>45434</v>
      </c>
      <c r="D57" s="79">
        <v>4.37</v>
      </c>
      <c r="E57" s="35">
        <v>1</v>
      </c>
      <c r="G57" s="27" t="str">
        <f>INDEX('Stato patrimoniale'!J:J,MATCH(A57,'Stato patrimoniale'!A:A,0))</f>
        <v>EUR</v>
      </c>
      <c r="H57" s="85">
        <f t="shared" si="0"/>
        <v>4.37</v>
      </c>
      <c r="I57" s="88">
        <f>INDEX('Stato patrimoniale'!N:N,MATCH(A57,'Stato patrimoniale'!A:A,0))</f>
        <v>0.26</v>
      </c>
      <c r="J57" s="93">
        <f t="shared" si="1"/>
        <v>1.1362000000000001</v>
      </c>
      <c r="K57" s="59">
        <f t="shared" si="2"/>
        <v>3.2338</v>
      </c>
    </row>
    <row r="58" spans="1:11" x14ac:dyDescent="0.25">
      <c r="A58" s="17">
        <v>13</v>
      </c>
      <c r="B58" s="70">
        <v>45441</v>
      </c>
      <c r="D58" s="79">
        <v>7.84</v>
      </c>
      <c r="E58" s="35">
        <v>1</v>
      </c>
      <c r="G58" s="27" t="str">
        <f>INDEX('Stato patrimoniale'!J:J,MATCH(A58,'Stato patrimoniale'!A:A,0))</f>
        <v>EUR</v>
      </c>
      <c r="H58" s="85">
        <f t="shared" si="0"/>
        <v>7.84</v>
      </c>
      <c r="I58" s="88">
        <f>INDEX('Stato patrimoniale'!N:N,MATCH(A58,'Stato patrimoniale'!A:A,0))</f>
        <v>0.26</v>
      </c>
      <c r="J58" s="93">
        <f t="shared" si="1"/>
        <v>2.0384000000000002</v>
      </c>
      <c r="K58" s="59">
        <f t="shared" si="2"/>
        <v>5.8015999999999996</v>
      </c>
    </row>
    <row r="59" spans="1:11" x14ac:dyDescent="0.25">
      <c r="A59" s="17">
        <v>4</v>
      </c>
      <c r="B59" s="70">
        <v>45442</v>
      </c>
      <c r="D59" s="79">
        <v>1.1499999999999999</v>
      </c>
      <c r="E59" s="35">
        <v>1</v>
      </c>
      <c r="G59" s="27" t="str">
        <f>INDEX('Stato patrimoniale'!J:J,MATCH(A59,'Stato patrimoniale'!A:A,0))</f>
        <v>EUR</v>
      </c>
      <c r="H59" s="85">
        <f t="shared" si="0"/>
        <v>1.1499999999999999</v>
      </c>
      <c r="I59" s="88">
        <f>INDEX('Stato patrimoniale'!N:N,MATCH(A59,'Stato patrimoniale'!A:A,0))</f>
        <v>0.26</v>
      </c>
      <c r="J59" s="93">
        <f t="shared" si="1"/>
        <v>0.29899999999999999</v>
      </c>
      <c r="K59" s="59">
        <f t="shared" si="2"/>
        <v>0.85099999999999998</v>
      </c>
    </row>
    <row r="60" spans="1:11" x14ac:dyDescent="0.25">
      <c r="A60" s="17">
        <v>33</v>
      </c>
      <c r="B60" s="70">
        <v>45448</v>
      </c>
      <c r="D60" s="79">
        <v>16.25</v>
      </c>
      <c r="E60" s="36">
        <v>1</v>
      </c>
      <c r="G60" s="27" t="str">
        <f>INDEX('Stato patrimoniale'!J:J,MATCH(A60,'Stato patrimoniale'!A:A,0))</f>
        <v>EUR</v>
      </c>
      <c r="H60" s="85">
        <f t="shared" si="0"/>
        <v>16.25</v>
      </c>
      <c r="I60" s="88">
        <f>INDEX('Stato patrimoniale'!N:N,MATCH(A60,'Stato patrimoniale'!A:A,0))</f>
        <v>0.125</v>
      </c>
      <c r="J60" s="93">
        <f t="shared" si="1"/>
        <v>2.03125</v>
      </c>
      <c r="K60" s="59">
        <f t="shared" si="2"/>
        <v>14.21875</v>
      </c>
    </row>
    <row r="61" spans="1:11" x14ac:dyDescent="0.25">
      <c r="A61" s="17">
        <v>10</v>
      </c>
      <c r="B61" s="70">
        <v>45455</v>
      </c>
      <c r="D61" s="79">
        <v>162.5</v>
      </c>
      <c r="E61" s="36">
        <v>1</v>
      </c>
      <c r="G61" s="27" t="str">
        <f>INDEX('Stato patrimoniale'!J:J,MATCH(A61,'Stato patrimoniale'!A:A,0))</f>
        <v>EUR</v>
      </c>
      <c r="H61" s="85">
        <f t="shared" si="0"/>
        <v>162.5</v>
      </c>
      <c r="I61" s="88">
        <f>INDEX('Stato patrimoniale'!N:N,MATCH(A61,'Stato patrimoniale'!A:A,0))</f>
        <v>0.125</v>
      </c>
      <c r="J61" s="93">
        <f t="shared" si="1"/>
        <v>20.3125</v>
      </c>
      <c r="K61" s="59">
        <f t="shared" si="2"/>
        <v>142.1875</v>
      </c>
    </row>
    <row r="62" spans="1:11" x14ac:dyDescent="0.25">
      <c r="A62" s="17">
        <v>23</v>
      </c>
      <c r="B62" s="70">
        <v>45462</v>
      </c>
      <c r="D62" s="79">
        <v>45.22</v>
      </c>
      <c r="E62" s="36">
        <v>1</v>
      </c>
      <c r="G62" s="27" t="str">
        <f>INDEX('Stato patrimoniale'!J:J,MATCH(A62,'Stato patrimoniale'!A:A,0))</f>
        <v>USD</v>
      </c>
      <c r="H62" s="85">
        <f t="shared" si="0"/>
        <v>45.22</v>
      </c>
      <c r="I62" s="88">
        <f>INDEX('Stato patrimoniale'!N:N,MATCH(A62,'Stato patrimoniale'!A:A,0))</f>
        <v>0.26</v>
      </c>
      <c r="J62" s="93">
        <f t="shared" si="1"/>
        <v>11.757200000000001</v>
      </c>
      <c r="K62" s="59">
        <f t="shared" si="2"/>
        <v>33.462800000000001</v>
      </c>
    </row>
    <row r="63" spans="1:11" x14ac:dyDescent="0.25">
      <c r="A63" s="17">
        <v>6</v>
      </c>
      <c r="B63" s="70">
        <v>45469</v>
      </c>
      <c r="D63" s="79">
        <v>3.4</v>
      </c>
      <c r="E63" s="36">
        <v>1</v>
      </c>
      <c r="G63" s="27" t="str">
        <f>INDEX('Stato patrimoniale'!J:J,MATCH(A63,'Stato patrimoniale'!A:A,0))</f>
        <v>EUR</v>
      </c>
      <c r="H63" s="85">
        <f t="shared" si="0"/>
        <v>3.4</v>
      </c>
      <c r="I63" s="88">
        <f>INDEX('Stato patrimoniale'!N:N,MATCH(A63,'Stato patrimoniale'!A:A,0))</f>
        <v>0.26</v>
      </c>
      <c r="J63" s="93">
        <f t="shared" si="1"/>
        <v>0.88400000000000001</v>
      </c>
      <c r="K63" s="59">
        <f t="shared" si="2"/>
        <v>2.516</v>
      </c>
    </row>
    <row r="64" spans="1:11" x14ac:dyDescent="0.25">
      <c r="A64" s="17">
        <v>3</v>
      </c>
      <c r="B64" s="70">
        <v>45469</v>
      </c>
      <c r="D64" s="79">
        <v>4.57</v>
      </c>
      <c r="E64" s="36">
        <v>1</v>
      </c>
      <c r="G64" s="27" t="str">
        <f>INDEX('Stato patrimoniale'!J:J,MATCH(A64,'Stato patrimoniale'!A:A,0))</f>
        <v>EUR</v>
      </c>
      <c r="H64" s="85">
        <f t="shared" si="0"/>
        <v>4.57</v>
      </c>
      <c r="I64" s="88">
        <f>INDEX('Stato patrimoniale'!N:N,MATCH(A64,'Stato patrimoniale'!A:A,0))</f>
        <v>0.26</v>
      </c>
      <c r="J64" s="93">
        <f t="shared" si="1"/>
        <v>1.1882000000000001</v>
      </c>
      <c r="K64" s="59">
        <f t="shared" si="2"/>
        <v>3.3818000000000001</v>
      </c>
    </row>
    <row r="65" spans="1:11" x14ac:dyDescent="0.25">
      <c r="A65" s="17">
        <v>16</v>
      </c>
      <c r="B65" s="70">
        <v>45469</v>
      </c>
      <c r="D65" s="79">
        <v>0.36</v>
      </c>
      <c r="E65" s="36">
        <v>1</v>
      </c>
      <c r="G65" s="27" t="str">
        <f>INDEX('Stato patrimoniale'!J:J,MATCH(A65,'Stato patrimoniale'!A:A,0))</f>
        <v>EUR</v>
      </c>
      <c r="H65" s="85">
        <f t="shared" si="0"/>
        <v>0.36</v>
      </c>
      <c r="I65" s="88">
        <f>INDEX('Stato patrimoniale'!N:N,MATCH(A65,'Stato patrimoniale'!A:A,0))</f>
        <v>0.26</v>
      </c>
      <c r="J65" s="93">
        <f t="shared" si="1"/>
        <v>9.3600000000000003E-2</v>
      </c>
      <c r="K65" s="59">
        <f t="shared" si="2"/>
        <v>0.26639999999999997</v>
      </c>
    </row>
    <row r="66" spans="1:11" x14ac:dyDescent="0.25">
      <c r="A66" s="17">
        <v>15</v>
      </c>
      <c r="B66" s="70">
        <v>45469</v>
      </c>
      <c r="D66" s="79">
        <v>14.08</v>
      </c>
      <c r="E66" s="36">
        <v>1</v>
      </c>
      <c r="G66" s="27" t="str">
        <f>INDEX('Stato patrimoniale'!J:J,MATCH(A66,'Stato patrimoniale'!A:A,0))</f>
        <v>EUR</v>
      </c>
      <c r="H66" s="85">
        <f t="shared" si="0"/>
        <v>14.08</v>
      </c>
      <c r="I66" s="88">
        <f>INDEX('Stato patrimoniale'!N:N,MATCH(A66,'Stato patrimoniale'!A:A,0))</f>
        <v>0.26</v>
      </c>
      <c r="J66" s="93">
        <f t="shared" si="1"/>
        <v>3.6608000000000001</v>
      </c>
      <c r="K66" s="59">
        <f t="shared" si="2"/>
        <v>10.4192</v>
      </c>
    </row>
    <row r="67" spans="1:11" x14ac:dyDescent="0.25">
      <c r="A67" s="17">
        <v>29</v>
      </c>
      <c r="B67" s="70">
        <v>45483</v>
      </c>
      <c r="D67" s="79">
        <v>51.25</v>
      </c>
      <c r="E67" s="36">
        <v>1</v>
      </c>
      <c r="G67" s="27" t="str">
        <f>INDEX('Stato patrimoniale'!J:J,MATCH(A67,'Stato patrimoniale'!A:A,0))</f>
        <v>EUR</v>
      </c>
      <c r="H67" s="85">
        <f t="shared" ref="H67:H105" si="3">F67+D67*E67</f>
        <v>51.25</v>
      </c>
      <c r="I67" s="88">
        <f>INDEX('Stato patrimoniale'!N:N,MATCH(A67,'Stato patrimoniale'!A:A,0))</f>
        <v>0.125</v>
      </c>
      <c r="J67" s="93">
        <f t="shared" ref="J67:J105" si="4">H67*I67</f>
        <v>6.40625</v>
      </c>
      <c r="K67" s="59">
        <f t="shared" ref="K67:K105" si="5">H67-(H67*I67)</f>
        <v>44.84375</v>
      </c>
    </row>
    <row r="68" spans="1:11" x14ac:dyDescent="0.25">
      <c r="A68" s="17">
        <v>19</v>
      </c>
      <c r="B68" s="70">
        <v>45497</v>
      </c>
      <c r="D68" s="79">
        <v>8.6</v>
      </c>
      <c r="E68" s="36">
        <v>1</v>
      </c>
      <c r="G68" s="27" t="str">
        <f>INDEX('Stato patrimoniale'!J:J,MATCH(A68,'Stato patrimoniale'!A:A,0))</f>
        <v>EUR</v>
      </c>
      <c r="H68" s="85">
        <f t="shared" si="3"/>
        <v>8.6</v>
      </c>
      <c r="I68" s="88">
        <f>INDEX('Stato patrimoniale'!N:N,MATCH(A68,'Stato patrimoniale'!A:A,0))</f>
        <v>0.26</v>
      </c>
      <c r="J68" s="93">
        <f t="shared" si="4"/>
        <v>2.2359999999999998</v>
      </c>
      <c r="K68" s="59">
        <f t="shared" si="5"/>
        <v>6.3639999999999999</v>
      </c>
    </row>
    <row r="69" spans="1:11" x14ac:dyDescent="0.25">
      <c r="A69" s="17">
        <v>37</v>
      </c>
      <c r="B69" s="70">
        <v>45502</v>
      </c>
      <c r="D69" s="79">
        <v>26.73</v>
      </c>
      <c r="E69" s="36">
        <v>1</v>
      </c>
      <c r="G69" s="27" t="str">
        <f>INDEX('Stato patrimoniale'!J:J,MATCH(A69,'Stato patrimoniale'!A:A,0))</f>
        <v>EUR</v>
      </c>
      <c r="H69" s="85">
        <f t="shared" si="3"/>
        <v>26.73</v>
      </c>
      <c r="I69" s="88">
        <f>INDEX('Stato patrimoniale'!N:N,MATCH(A69,'Stato patrimoniale'!A:A,0))</f>
        <v>0.125</v>
      </c>
      <c r="J69" s="93">
        <f t="shared" si="4"/>
        <v>3.3412500000000001</v>
      </c>
      <c r="K69" s="59">
        <f t="shared" si="5"/>
        <v>23.388750000000002</v>
      </c>
    </row>
    <row r="70" spans="1:11" x14ac:dyDescent="0.25">
      <c r="A70" s="17">
        <v>31</v>
      </c>
      <c r="B70" s="70">
        <v>45503</v>
      </c>
      <c r="D70" s="79">
        <v>47</v>
      </c>
      <c r="E70" s="36">
        <v>1</v>
      </c>
      <c r="G70" s="27" t="str">
        <f>INDEX('Stato patrimoniale'!J:J,MATCH(A70,'Stato patrimoniale'!A:A,0))</f>
        <v>EUR</v>
      </c>
      <c r="H70" s="85">
        <f t="shared" si="3"/>
        <v>47</v>
      </c>
      <c r="I70" s="88">
        <f>INDEX('Stato patrimoniale'!N:N,MATCH(A70,'Stato patrimoniale'!A:A,0))</f>
        <v>0.125</v>
      </c>
      <c r="J70" s="93">
        <f t="shared" si="4"/>
        <v>5.875</v>
      </c>
      <c r="K70" s="59">
        <f t="shared" si="5"/>
        <v>41.125</v>
      </c>
    </row>
    <row r="71" spans="1:11" x14ac:dyDescent="0.25">
      <c r="A71" s="17">
        <v>11</v>
      </c>
      <c r="B71" s="70">
        <v>45519</v>
      </c>
      <c r="E71" s="36">
        <v>1</v>
      </c>
      <c r="F71" s="8">
        <v>136.13</v>
      </c>
      <c r="G71" s="27" t="str">
        <f>INDEX('Stato patrimoniale'!J:J,MATCH(A71,'Stato patrimoniale'!A:A,0))</f>
        <v>USD</v>
      </c>
      <c r="H71" s="85">
        <f t="shared" si="3"/>
        <v>136.13</v>
      </c>
      <c r="I71" s="88">
        <f>INDEX('Stato patrimoniale'!N:N,MATCH(A71,'Stato patrimoniale'!A:A,0))</f>
        <v>0.125</v>
      </c>
      <c r="J71" s="93">
        <f t="shared" si="4"/>
        <v>17.016249999999999</v>
      </c>
      <c r="K71" s="59">
        <f t="shared" si="5"/>
        <v>119.11375</v>
      </c>
    </row>
    <row r="72" spans="1:11" x14ac:dyDescent="0.25">
      <c r="A72" s="17">
        <v>21</v>
      </c>
      <c r="B72" s="70">
        <v>45523</v>
      </c>
      <c r="E72" s="36">
        <v>1</v>
      </c>
      <c r="F72" s="8">
        <v>0.39</v>
      </c>
      <c r="G72" s="27" t="str">
        <f>INDEX('Stato patrimoniale'!J:J,MATCH(A72,'Stato patrimoniale'!A:A,0))</f>
        <v>USD</v>
      </c>
      <c r="H72" s="85">
        <f t="shared" si="3"/>
        <v>0.39</v>
      </c>
      <c r="I72" s="88">
        <f>INDEX('Stato patrimoniale'!N:N,MATCH(A72,'Stato patrimoniale'!A:A,0))</f>
        <v>0.26</v>
      </c>
      <c r="J72" s="93">
        <f t="shared" si="4"/>
        <v>0.1014</v>
      </c>
      <c r="K72" s="59">
        <f t="shared" si="5"/>
        <v>0.28860000000000002</v>
      </c>
    </row>
    <row r="73" spans="1:11" x14ac:dyDescent="0.25">
      <c r="A73" s="17">
        <v>33</v>
      </c>
      <c r="B73" s="70">
        <v>45540</v>
      </c>
      <c r="D73" s="79">
        <v>16.25</v>
      </c>
      <c r="E73" s="36">
        <v>1</v>
      </c>
      <c r="G73" s="27" t="str">
        <f>INDEX('Stato patrimoniale'!J:J,MATCH(A73,'Stato patrimoniale'!A:A,0))</f>
        <v>EUR</v>
      </c>
      <c r="H73" s="85">
        <f t="shared" si="3"/>
        <v>16.25</v>
      </c>
      <c r="I73" s="88">
        <f>INDEX('Stato patrimoniale'!N:N,MATCH(A73,'Stato patrimoniale'!A:A,0))</f>
        <v>0.125</v>
      </c>
      <c r="J73" s="93">
        <f t="shared" si="4"/>
        <v>2.03125</v>
      </c>
      <c r="K73" s="59">
        <f t="shared" si="5"/>
        <v>14.21875</v>
      </c>
    </row>
    <row r="74" spans="1:11" x14ac:dyDescent="0.25">
      <c r="A74" s="17">
        <v>23</v>
      </c>
      <c r="B74" s="70">
        <v>45553</v>
      </c>
      <c r="E74" s="36">
        <v>1</v>
      </c>
      <c r="F74" s="8">
        <v>43.5</v>
      </c>
      <c r="G74" s="27" t="str">
        <f>INDEX('Stato patrimoniale'!J:J,MATCH(A74,'Stato patrimoniale'!A:A,0))</f>
        <v>USD</v>
      </c>
      <c r="H74" s="85">
        <f t="shared" si="3"/>
        <v>43.5</v>
      </c>
      <c r="I74" s="88">
        <f>INDEX('Stato patrimoniale'!N:N,MATCH(A74,'Stato patrimoniale'!A:A,0))</f>
        <v>0.26</v>
      </c>
      <c r="J74" s="93">
        <f t="shared" si="4"/>
        <v>11.31</v>
      </c>
      <c r="K74" s="59">
        <f t="shared" si="5"/>
        <v>32.19</v>
      </c>
    </row>
    <row r="75" spans="1:11" x14ac:dyDescent="0.25">
      <c r="A75" s="17">
        <v>6</v>
      </c>
      <c r="B75" s="70">
        <v>45560</v>
      </c>
      <c r="D75" s="79">
        <v>3.36</v>
      </c>
      <c r="E75" s="36">
        <v>1</v>
      </c>
      <c r="G75" s="27" t="str">
        <f>INDEX('Stato patrimoniale'!J:J,MATCH(A75,'Stato patrimoniale'!A:A,0))</f>
        <v>EUR</v>
      </c>
      <c r="H75" s="85">
        <f t="shared" si="3"/>
        <v>3.36</v>
      </c>
      <c r="I75" s="88">
        <f>INDEX('Stato patrimoniale'!N:N,MATCH(A75,'Stato patrimoniale'!A:A,0))</f>
        <v>0.26</v>
      </c>
      <c r="J75" s="93">
        <f t="shared" si="4"/>
        <v>0.87360000000000004</v>
      </c>
      <c r="K75" s="59">
        <f t="shared" si="5"/>
        <v>2.4863999999999997</v>
      </c>
    </row>
    <row r="76" spans="1:11" x14ac:dyDescent="0.25">
      <c r="A76" s="17">
        <v>3</v>
      </c>
      <c r="B76" s="70">
        <v>45560</v>
      </c>
      <c r="D76" s="79">
        <v>5.81</v>
      </c>
      <c r="E76" s="36">
        <v>1</v>
      </c>
      <c r="G76" s="27" t="str">
        <f>INDEX('Stato patrimoniale'!J:J,MATCH(A76,'Stato patrimoniale'!A:A,0))</f>
        <v>EUR</v>
      </c>
      <c r="H76" s="85">
        <f t="shared" si="3"/>
        <v>5.81</v>
      </c>
      <c r="I76" s="88">
        <f>INDEX('Stato patrimoniale'!N:N,MATCH(A76,'Stato patrimoniale'!A:A,0))</f>
        <v>0.26</v>
      </c>
      <c r="J76" s="93">
        <f t="shared" si="4"/>
        <v>1.5105999999999999</v>
      </c>
      <c r="K76" s="59">
        <f t="shared" si="5"/>
        <v>4.2993999999999994</v>
      </c>
    </row>
    <row r="77" spans="1:11" x14ac:dyDescent="0.25">
      <c r="A77" s="17">
        <v>20</v>
      </c>
      <c r="B77" s="70">
        <v>45560</v>
      </c>
      <c r="D77" s="79">
        <v>4.75</v>
      </c>
      <c r="E77" s="36">
        <v>1</v>
      </c>
      <c r="G77" s="27" t="str">
        <f>INDEX('Stato patrimoniale'!J:J,MATCH(A77,'Stato patrimoniale'!A:A,0))</f>
        <v>EUR</v>
      </c>
      <c r="H77" s="85">
        <f t="shared" si="3"/>
        <v>4.75</v>
      </c>
      <c r="I77" s="88">
        <f>INDEX('Stato patrimoniale'!N:N,MATCH(A77,'Stato patrimoniale'!A:A,0))</f>
        <v>0.26</v>
      </c>
      <c r="J77" s="93">
        <f t="shared" si="4"/>
        <v>1.2350000000000001</v>
      </c>
      <c r="K77" s="59">
        <f t="shared" si="5"/>
        <v>3.5149999999999997</v>
      </c>
    </row>
    <row r="78" spans="1:11" x14ac:dyDescent="0.25">
      <c r="A78" s="17">
        <v>25</v>
      </c>
      <c r="B78" s="70">
        <v>45565</v>
      </c>
      <c r="D78" s="79">
        <v>90</v>
      </c>
      <c r="E78" s="36">
        <v>1</v>
      </c>
      <c r="G78" s="27" t="str">
        <f>INDEX('Stato patrimoniale'!J:J,MATCH(A78,'Stato patrimoniale'!A:A,0))</f>
        <v>EUR</v>
      </c>
      <c r="H78" s="85">
        <f t="shared" si="3"/>
        <v>90</v>
      </c>
      <c r="I78" s="88">
        <f>INDEX('Stato patrimoniale'!N:N,MATCH(A78,'Stato patrimoniale'!A:A,0))</f>
        <v>0.125</v>
      </c>
      <c r="J78" s="93">
        <f t="shared" si="4"/>
        <v>11.25</v>
      </c>
      <c r="K78" s="59">
        <f t="shared" si="5"/>
        <v>78.75</v>
      </c>
    </row>
    <row r="79" spans="1:11" x14ac:dyDescent="0.25">
      <c r="A79" s="17">
        <v>12</v>
      </c>
      <c r="B79" s="70">
        <v>45566</v>
      </c>
      <c r="D79" s="79">
        <v>112.5</v>
      </c>
      <c r="E79" s="36">
        <v>1</v>
      </c>
      <c r="G79" s="27" t="str">
        <f>INDEX('Stato patrimoniale'!J:J,MATCH(A79,'Stato patrimoniale'!A:A,0))</f>
        <v>EUR</v>
      </c>
      <c r="H79" s="86">
        <f t="shared" si="3"/>
        <v>112.5</v>
      </c>
      <c r="I79" s="88">
        <f>INDEX('Stato patrimoniale'!N:N,MATCH(A79,'Stato patrimoniale'!A:A,0))</f>
        <v>0.125</v>
      </c>
      <c r="J79" s="93">
        <f t="shared" si="4"/>
        <v>14.0625</v>
      </c>
      <c r="K79" s="59">
        <f t="shared" si="5"/>
        <v>98.4375</v>
      </c>
    </row>
    <row r="80" spans="1:11" x14ac:dyDescent="0.25">
      <c r="A80" s="17">
        <v>29</v>
      </c>
      <c r="B80" s="70">
        <v>45575</v>
      </c>
      <c r="D80" s="79">
        <v>51.25</v>
      </c>
      <c r="E80" s="36">
        <v>1</v>
      </c>
      <c r="G80" s="27" t="str">
        <f>INDEX('Stato patrimoniale'!J:J,MATCH(A80,'Stato patrimoniale'!A:A,0))</f>
        <v>EUR</v>
      </c>
      <c r="H80" s="86">
        <f t="shared" si="3"/>
        <v>51.25</v>
      </c>
      <c r="I80" s="88">
        <f>INDEX('Stato patrimoniale'!N:N,MATCH(A80,'Stato patrimoniale'!A:A,0))</f>
        <v>0.125</v>
      </c>
      <c r="J80" s="93">
        <f t="shared" si="4"/>
        <v>6.40625</v>
      </c>
      <c r="K80" s="59">
        <f t="shared" si="5"/>
        <v>44.84375</v>
      </c>
    </row>
    <row r="81" spans="1:12" x14ac:dyDescent="0.25">
      <c r="A81" s="17">
        <v>26</v>
      </c>
      <c r="B81" s="70">
        <v>45611</v>
      </c>
      <c r="F81" s="8">
        <v>50.2</v>
      </c>
      <c r="G81" s="27" t="str">
        <f>INDEX('Stato patrimoniale'!J:J,MATCH(A81,'Stato patrimoniale'!A:A,0))</f>
        <v>USD</v>
      </c>
      <c r="H81" s="86">
        <f t="shared" si="3"/>
        <v>50.2</v>
      </c>
      <c r="I81" s="88">
        <f>INDEX('Stato patrimoniale'!N:N,MATCH(A81,'Stato patrimoniale'!A:A,0))</f>
        <v>0.125</v>
      </c>
      <c r="J81" s="93">
        <f t="shared" si="4"/>
        <v>6.2750000000000004</v>
      </c>
      <c r="K81" s="59">
        <f t="shared" si="5"/>
        <v>43.925000000000004</v>
      </c>
    </row>
    <row r="82" spans="1:12" x14ac:dyDescent="0.25">
      <c r="A82" s="17">
        <v>17</v>
      </c>
      <c r="B82" s="70">
        <v>45616</v>
      </c>
      <c r="D82" s="79">
        <v>17</v>
      </c>
      <c r="E82" s="36">
        <v>1</v>
      </c>
      <c r="G82" s="27" t="str">
        <f>INDEX('Stato patrimoniale'!J:J,MATCH(A82,'Stato patrimoniale'!A:A,0))</f>
        <v>EUR</v>
      </c>
      <c r="H82" s="86">
        <f t="shared" si="3"/>
        <v>17</v>
      </c>
      <c r="I82" s="88">
        <f>INDEX('Stato patrimoniale'!N:N,MATCH(A82,'Stato patrimoniale'!A:A,0))</f>
        <v>0.26</v>
      </c>
      <c r="J82" s="93">
        <f t="shared" si="4"/>
        <v>4.42</v>
      </c>
      <c r="K82" s="59">
        <f t="shared" si="5"/>
        <v>12.58</v>
      </c>
    </row>
    <row r="83" spans="1:12" x14ac:dyDescent="0.25">
      <c r="A83" s="17">
        <v>14</v>
      </c>
      <c r="B83" s="70">
        <v>45616</v>
      </c>
      <c r="D83" s="79">
        <v>10.19</v>
      </c>
      <c r="E83" s="36">
        <v>1</v>
      </c>
      <c r="G83" s="27" t="str">
        <f>INDEX('Stato patrimoniale'!J:J,MATCH(A83,'Stato patrimoniale'!A:A,0))</f>
        <v>EUR</v>
      </c>
      <c r="H83" s="86">
        <f t="shared" si="3"/>
        <v>10.19</v>
      </c>
      <c r="I83" s="88">
        <f>INDEX('Stato patrimoniale'!N:N,MATCH(A83,'Stato patrimoniale'!A:A,0))</f>
        <v>0.26</v>
      </c>
      <c r="J83" s="93">
        <f t="shared" si="4"/>
        <v>2.6494</v>
      </c>
      <c r="K83" s="59">
        <f t="shared" si="5"/>
        <v>7.5405999999999995</v>
      </c>
    </row>
    <row r="84" spans="1:12" x14ac:dyDescent="0.25">
      <c r="A84" s="17">
        <v>20</v>
      </c>
      <c r="B84" s="70">
        <v>45616</v>
      </c>
      <c r="D84" s="79">
        <v>4.75</v>
      </c>
      <c r="E84" s="36">
        <v>1</v>
      </c>
      <c r="G84" s="27" t="str">
        <f>INDEX('Stato patrimoniale'!J:J,MATCH(A84,'Stato patrimoniale'!A:A,0))</f>
        <v>EUR</v>
      </c>
      <c r="H84" s="86">
        <f t="shared" si="3"/>
        <v>4.75</v>
      </c>
      <c r="I84" s="88">
        <f>INDEX('Stato patrimoniale'!N:N,MATCH(A84,'Stato patrimoniale'!A:A,0))</f>
        <v>0.26</v>
      </c>
      <c r="J84" s="93">
        <f t="shared" si="4"/>
        <v>1.2350000000000001</v>
      </c>
      <c r="K84" s="59">
        <f t="shared" si="5"/>
        <v>3.5149999999999997</v>
      </c>
    </row>
    <row r="85" spans="1:12" x14ac:dyDescent="0.25">
      <c r="A85" s="17">
        <v>15</v>
      </c>
      <c r="B85" s="70">
        <v>45616</v>
      </c>
      <c r="D85" s="79">
        <v>8.25</v>
      </c>
      <c r="E85" s="36">
        <v>1</v>
      </c>
      <c r="G85" s="27" t="str">
        <f>INDEX('Stato patrimoniale'!J:J,MATCH(A85,'Stato patrimoniale'!A:A,0))</f>
        <v>EUR</v>
      </c>
      <c r="H85" s="86">
        <f t="shared" si="3"/>
        <v>8.25</v>
      </c>
      <c r="I85" s="88">
        <f>INDEX('Stato patrimoniale'!N:N,MATCH(A85,'Stato patrimoniale'!A:A,0))</f>
        <v>0.26</v>
      </c>
      <c r="J85" s="93">
        <f t="shared" si="4"/>
        <v>2.145</v>
      </c>
      <c r="K85" s="59">
        <f t="shared" si="5"/>
        <v>6.1050000000000004</v>
      </c>
    </row>
    <row r="86" spans="1:12" x14ac:dyDescent="0.25">
      <c r="A86" s="17">
        <v>21</v>
      </c>
      <c r="B86" s="70">
        <v>45617</v>
      </c>
      <c r="F86" s="8">
        <v>0.41</v>
      </c>
      <c r="G86" s="27" t="str">
        <f>INDEX('Stato patrimoniale'!J:J,MATCH(A86,'Stato patrimoniale'!A:A,0))</f>
        <v>USD</v>
      </c>
      <c r="H86" s="86">
        <f t="shared" si="3"/>
        <v>0.41</v>
      </c>
      <c r="I86" s="88">
        <f>INDEX('Stato patrimoniale'!N:N,MATCH(A86,'Stato patrimoniale'!A:A,0))</f>
        <v>0.26</v>
      </c>
      <c r="J86" s="93">
        <f t="shared" si="4"/>
        <v>0.1066</v>
      </c>
      <c r="K86" s="59">
        <f t="shared" si="5"/>
        <v>0.3034</v>
      </c>
    </row>
    <row r="87" spans="1:12" x14ac:dyDescent="0.25">
      <c r="A87" s="17">
        <v>33</v>
      </c>
      <c r="B87" s="70">
        <v>45631</v>
      </c>
      <c r="D87" s="79">
        <v>16.25</v>
      </c>
      <c r="E87" s="36">
        <v>1</v>
      </c>
      <c r="G87" s="27" t="str">
        <f>INDEX('Stato patrimoniale'!J:J,MATCH(A87,'Stato patrimoniale'!A:A,0))</f>
        <v>EUR</v>
      </c>
      <c r="H87" s="86">
        <f t="shared" si="3"/>
        <v>16.25</v>
      </c>
      <c r="I87" s="88">
        <f>INDEX('Stato patrimoniale'!N:N,MATCH(A87,'Stato patrimoniale'!A:A,0))</f>
        <v>0.125</v>
      </c>
      <c r="J87" s="93">
        <f t="shared" si="4"/>
        <v>2.03125</v>
      </c>
      <c r="K87" s="59">
        <f t="shared" si="5"/>
        <v>14.21875</v>
      </c>
    </row>
    <row r="88" spans="1:12" x14ac:dyDescent="0.25">
      <c r="A88" s="17">
        <v>10</v>
      </c>
      <c r="B88" s="70">
        <v>45639</v>
      </c>
      <c r="D88" s="79">
        <v>162.5</v>
      </c>
      <c r="E88" s="36">
        <v>1</v>
      </c>
      <c r="G88" s="27" t="str">
        <f>INDEX('Stato patrimoniale'!J:J,MATCH(A88,'Stato patrimoniale'!A:A,0))</f>
        <v>EUR</v>
      </c>
      <c r="H88" s="86">
        <f t="shared" si="3"/>
        <v>162.5</v>
      </c>
      <c r="I88" s="88">
        <f>INDEX('Stato patrimoniale'!N:N,MATCH(A88,'Stato patrimoniale'!A:A,0))</f>
        <v>0.125</v>
      </c>
      <c r="J88" s="93">
        <f t="shared" si="4"/>
        <v>20.3125</v>
      </c>
      <c r="K88" s="59">
        <f t="shared" si="5"/>
        <v>142.1875</v>
      </c>
    </row>
    <row r="89" spans="1:12" x14ac:dyDescent="0.25">
      <c r="A89" s="17">
        <v>45</v>
      </c>
      <c r="B89" s="70">
        <v>45639</v>
      </c>
      <c r="D89" s="79">
        <v>35</v>
      </c>
      <c r="E89" s="36">
        <v>1</v>
      </c>
      <c r="G89" s="27" t="str">
        <f>INDEX('Stato patrimoniale'!J:J,MATCH(A89,'Stato patrimoniale'!A:A,0))</f>
        <v>EUR</v>
      </c>
      <c r="H89" s="86">
        <f t="shared" si="3"/>
        <v>35</v>
      </c>
      <c r="I89" s="88">
        <v>0.26</v>
      </c>
      <c r="J89" s="93">
        <f t="shared" si="4"/>
        <v>9.1</v>
      </c>
      <c r="K89" s="59">
        <f t="shared" si="5"/>
        <v>25.9</v>
      </c>
      <c r="L89" t="s">
        <v>523</v>
      </c>
    </row>
    <row r="90" spans="1:12" x14ac:dyDescent="0.25">
      <c r="A90" s="17">
        <v>23</v>
      </c>
      <c r="B90" s="70">
        <v>45642</v>
      </c>
      <c r="E90" s="36">
        <v>1</v>
      </c>
      <c r="F90" s="8">
        <v>51.08</v>
      </c>
      <c r="G90" s="27" t="str">
        <f>INDEX('Stato patrimoniale'!J:J,MATCH(A90,'Stato patrimoniale'!A:A,0))</f>
        <v>USD</v>
      </c>
      <c r="H90" s="86">
        <f t="shared" si="3"/>
        <v>51.08</v>
      </c>
      <c r="I90" s="88">
        <f>INDEX('Stato patrimoniale'!N:N,MATCH(A90,'Stato patrimoniale'!A:A,0))</f>
        <v>0.26</v>
      </c>
      <c r="J90" s="93">
        <f t="shared" si="4"/>
        <v>13.280799999999999</v>
      </c>
      <c r="K90" s="59">
        <f t="shared" si="5"/>
        <v>37.799199999999999</v>
      </c>
    </row>
    <row r="91" spans="1:12" x14ac:dyDescent="0.25">
      <c r="A91" s="17">
        <v>3</v>
      </c>
      <c r="B91" s="70">
        <v>45653</v>
      </c>
      <c r="D91" s="79">
        <v>1.59</v>
      </c>
      <c r="E91" s="36">
        <v>1</v>
      </c>
      <c r="G91" s="27" t="str">
        <f>INDEX('Stato patrimoniale'!J:J,MATCH(A91,'Stato patrimoniale'!A:A,0))</f>
        <v>EUR</v>
      </c>
      <c r="H91" s="86">
        <f t="shared" si="3"/>
        <v>1.59</v>
      </c>
      <c r="I91" s="88">
        <f>INDEX('Stato patrimoniale'!N:N,MATCH(A91,'Stato patrimoniale'!A:A,0))</f>
        <v>0.26</v>
      </c>
      <c r="J91" s="93">
        <f t="shared" si="4"/>
        <v>0.41340000000000005</v>
      </c>
      <c r="K91" s="59">
        <f t="shared" si="5"/>
        <v>1.1766000000000001</v>
      </c>
    </row>
    <row r="92" spans="1:12" x14ac:dyDescent="0.25">
      <c r="A92" s="17">
        <v>5</v>
      </c>
      <c r="B92" s="70">
        <v>45653</v>
      </c>
      <c r="D92" s="79">
        <v>3.75</v>
      </c>
      <c r="E92" s="36">
        <v>1</v>
      </c>
      <c r="G92" s="27" t="str">
        <f>INDEX('Stato patrimoniale'!J:J,MATCH(A92,'Stato patrimoniale'!A:A,0))</f>
        <v>EUR</v>
      </c>
      <c r="H92" s="86">
        <f t="shared" si="3"/>
        <v>3.75</v>
      </c>
      <c r="I92" s="88">
        <f>INDEX('Stato patrimoniale'!N:N,MATCH(A92,'Stato patrimoniale'!A:A,0))</f>
        <v>0.26</v>
      </c>
      <c r="J92" s="93">
        <f t="shared" si="4"/>
        <v>0.97500000000000009</v>
      </c>
      <c r="K92" s="59">
        <f t="shared" si="5"/>
        <v>2.7749999999999999</v>
      </c>
    </row>
    <row r="93" spans="1:12" x14ac:dyDescent="0.25">
      <c r="A93" s="17">
        <v>29</v>
      </c>
      <c r="B93" s="70">
        <v>45667</v>
      </c>
      <c r="D93" s="79">
        <v>51.25</v>
      </c>
      <c r="E93" s="36">
        <v>1</v>
      </c>
      <c r="G93" s="27" t="str">
        <f>INDEX('Stato patrimoniale'!J:J,MATCH(A93,'Stato patrimoniale'!A:A,0))</f>
        <v>EUR</v>
      </c>
      <c r="H93" s="86">
        <f t="shared" si="3"/>
        <v>51.25</v>
      </c>
      <c r="I93" s="88">
        <f>INDEX('Stato patrimoniale'!N:N,MATCH(A93,'Stato patrimoniale'!A:A,0))</f>
        <v>0.125</v>
      </c>
      <c r="J93" s="93">
        <f t="shared" si="4"/>
        <v>6.40625</v>
      </c>
      <c r="K93" s="59">
        <f t="shared" si="5"/>
        <v>44.84375</v>
      </c>
    </row>
    <row r="94" spans="1:12" x14ac:dyDescent="0.25">
      <c r="A94" s="17">
        <v>19</v>
      </c>
      <c r="B94" s="70">
        <v>45679</v>
      </c>
      <c r="D94" s="79">
        <v>8.6</v>
      </c>
      <c r="E94" s="36">
        <v>1</v>
      </c>
      <c r="G94" s="27" t="str">
        <f>INDEX('Stato patrimoniale'!J:J,MATCH(A94,'Stato patrimoniale'!A:A,0))</f>
        <v>EUR</v>
      </c>
      <c r="H94" s="86">
        <f t="shared" si="3"/>
        <v>8.6</v>
      </c>
      <c r="I94" s="88">
        <f>INDEX('Stato patrimoniale'!N:N,MATCH(A94,'Stato patrimoniale'!A:A,0))</f>
        <v>0.26</v>
      </c>
      <c r="J94" s="93">
        <f t="shared" si="4"/>
        <v>2.2359999999999998</v>
      </c>
      <c r="K94" s="59">
        <f t="shared" si="5"/>
        <v>6.3639999999999999</v>
      </c>
    </row>
    <row r="95" spans="1:12" x14ac:dyDescent="0.25">
      <c r="A95" s="17">
        <v>37</v>
      </c>
      <c r="B95" s="70">
        <v>45685</v>
      </c>
      <c r="D95" s="79">
        <v>32</v>
      </c>
      <c r="E95" s="36">
        <v>1</v>
      </c>
      <c r="G95" s="27" t="str">
        <f>INDEX('Stato patrimoniale'!J:J,MATCH(A95,'Stato patrimoniale'!A:A,0))</f>
        <v>EUR</v>
      </c>
      <c r="H95" s="86">
        <f t="shared" si="3"/>
        <v>32</v>
      </c>
      <c r="I95" s="88">
        <f>INDEX('Stato patrimoniale'!N:N,MATCH(A95,'Stato patrimoniale'!A:A,0))</f>
        <v>0.125</v>
      </c>
      <c r="J95" s="93">
        <f t="shared" si="4"/>
        <v>4</v>
      </c>
      <c r="K95" s="59">
        <f t="shared" si="5"/>
        <v>28</v>
      </c>
    </row>
    <row r="96" spans="1:12" x14ac:dyDescent="0.25">
      <c r="A96" s="17">
        <v>21</v>
      </c>
      <c r="B96" s="70">
        <v>45705</v>
      </c>
      <c r="E96" s="36">
        <v>1</v>
      </c>
      <c r="F96" s="8">
        <v>0.41</v>
      </c>
      <c r="G96" s="27" t="str">
        <f>INDEX('Stato patrimoniale'!J:J,MATCH(A96,'Stato patrimoniale'!A:A,0))</f>
        <v>USD</v>
      </c>
      <c r="H96" s="86">
        <f t="shared" si="3"/>
        <v>0.41</v>
      </c>
      <c r="I96" s="88">
        <f>INDEX('Stato patrimoniale'!N:N,MATCH(A96,'Stato patrimoniale'!A:A,0))</f>
        <v>0.26</v>
      </c>
      <c r="J96" s="93">
        <f t="shared" si="4"/>
        <v>0.1066</v>
      </c>
      <c r="K96" s="59">
        <f t="shared" si="5"/>
        <v>0.3034</v>
      </c>
    </row>
    <row r="97" spans="1:11" x14ac:dyDescent="0.25">
      <c r="A97" s="17">
        <v>11</v>
      </c>
      <c r="B97" s="70">
        <v>45706</v>
      </c>
      <c r="E97" s="36">
        <v>1</v>
      </c>
      <c r="F97" s="8">
        <v>143.58000000000001</v>
      </c>
      <c r="G97" s="27" t="str">
        <f>INDEX('Stato patrimoniale'!J:J,MATCH(A97,'Stato patrimoniale'!A:A,0))</f>
        <v>USD</v>
      </c>
      <c r="H97" s="86">
        <f t="shared" si="3"/>
        <v>143.58000000000001</v>
      </c>
      <c r="I97" s="88">
        <f>INDEX('Stato patrimoniale'!N:N,MATCH(A97,'Stato patrimoniale'!A:A,0))</f>
        <v>0.125</v>
      </c>
      <c r="J97" s="93">
        <f t="shared" si="4"/>
        <v>17.947500000000002</v>
      </c>
      <c r="K97" s="59">
        <f t="shared" si="5"/>
        <v>125.63250000000001</v>
      </c>
    </row>
    <row r="98" spans="1:11" x14ac:dyDescent="0.25">
      <c r="A98" s="17">
        <v>33</v>
      </c>
      <c r="B98" s="70">
        <v>45721</v>
      </c>
      <c r="D98" s="79">
        <v>16.25</v>
      </c>
      <c r="E98" s="36">
        <v>1</v>
      </c>
      <c r="G98" s="27" t="str">
        <f>INDEX('Stato patrimoniale'!J:J,MATCH(A98,'Stato patrimoniale'!A:A,0))</f>
        <v>EUR</v>
      </c>
      <c r="H98" s="86">
        <f t="shared" si="3"/>
        <v>16.25</v>
      </c>
      <c r="I98" s="88">
        <f>INDEX('Stato patrimoniale'!N:N,MATCH(A98,'Stato patrimoniale'!A:A,0))</f>
        <v>0.125</v>
      </c>
      <c r="J98" s="93">
        <f t="shared" si="4"/>
        <v>2.03125</v>
      </c>
      <c r="K98" s="59">
        <f t="shared" si="5"/>
        <v>14.21875</v>
      </c>
    </row>
    <row r="99" spans="1:11" x14ac:dyDescent="0.25">
      <c r="A99" s="17">
        <v>23</v>
      </c>
      <c r="B99" s="70">
        <v>45736</v>
      </c>
      <c r="E99" s="36">
        <v>1</v>
      </c>
      <c r="F99" s="8">
        <v>53.73</v>
      </c>
      <c r="G99" s="27" t="str">
        <f>INDEX('Stato patrimoniale'!J:J,MATCH(A99,'Stato patrimoniale'!A:A,0))</f>
        <v>USD</v>
      </c>
      <c r="H99" s="86">
        <f t="shared" si="3"/>
        <v>53.73</v>
      </c>
      <c r="I99" s="88">
        <f>INDEX('Stato patrimoniale'!N:N,MATCH(A99,'Stato patrimoniale'!A:A,0))</f>
        <v>0.26</v>
      </c>
      <c r="J99" s="93">
        <f t="shared" si="4"/>
        <v>13.969799999999999</v>
      </c>
      <c r="K99" s="59">
        <f t="shared" si="5"/>
        <v>39.760199999999998</v>
      </c>
    </row>
    <row r="100" spans="1:11" x14ac:dyDescent="0.25">
      <c r="A100" s="17">
        <v>20</v>
      </c>
      <c r="B100" s="70">
        <v>45742</v>
      </c>
      <c r="D100" s="79">
        <v>4.75</v>
      </c>
      <c r="E100" s="36">
        <v>1</v>
      </c>
      <c r="G100" s="27" t="str">
        <f>INDEX('Stato patrimoniale'!J:J,MATCH(A100,'Stato patrimoniale'!A:A,0))</f>
        <v>EUR</v>
      </c>
      <c r="H100" s="86">
        <f t="shared" si="3"/>
        <v>4.75</v>
      </c>
      <c r="I100" s="88">
        <f>INDEX('Stato patrimoniale'!N:N,MATCH(A100,'Stato patrimoniale'!A:A,0))</f>
        <v>0.26</v>
      </c>
      <c r="J100" s="93">
        <f t="shared" si="4"/>
        <v>1.2350000000000001</v>
      </c>
      <c r="K100" s="59">
        <f t="shared" si="5"/>
        <v>3.5149999999999997</v>
      </c>
    </row>
    <row r="101" spans="1:11" x14ac:dyDescent="0.25">
      <c r="A101" s="17">
        <v>5</v>
      </c>
      <c r="B101" s="70">
        <v>45742</v>
      </c>
      <c r="D101" s="79">
        <v>3.61</v>
      </c>
      <c r="E101" s="36">
        <v>1</v>
      </c>
      <c r="G101" s="27" t="str">
        <f>INDEX('Stato patrimoniale'!J:J,MATCH(A101,'Stato patrimoniale'!A:A,0))</f>
        <v>EUR</v>
      </c>
      <c r="H101" s="86">
        <f t="shared" si="3"/>
        <v>3.61</v>
      </c>
      <c r="I101" s="88">
        <f>INDEX('Stato patrimoniale'!N:N,MATCH(A101,'Stato patrimoniale'!A:A,0))</f>
        <v>0.26</v>
      </c>
      <c r="J101" s="93">
        <f t="shared" si="4"/>
        <v>0.93859999999999999</v>
      </c>
      <c r="K101" s="59">
        <f t="shared" si="5"/>
        <v>2.6713999999999998</v>
      </c>
    </row>
    <row r="102" spans="1:11" x14ac:dyDescent="0.25">
      <c r="A102" s="17">
        <v>25</v>
      </c>
      <c r="B102" s="70">
        <v>45747</v>
      </c>
      <c r="D102" s="79">
        <v>90</v>
      </c>
      <c r="E102" s="36">
        <v>1</v>
      </c>
      <c r="G102" s="27" t="str">
        <f>INDEX('Stato patrimoniale'!J:J,MATCH(A102,'Stato patrimoniale'!A:A,0))</f>
        <v>EUR</v>
      </c>
      <c r="H102" s="86">
        <f t="shared" si="3"/>
        <v>90</v>
      </c>
      <c r="I102" s="88">
        <f>INDEX('Stato patrimoniale'!N:N,MATCH(A102,'Stato patrimoniale'!A:A,0))</f>
        <v>0.125</v>
      </c>
      <c r="J102" s="93">
        <f t="shared" si="4"/>
        <v>11.25</v>
      </c>
      <c r="K102" s="59">
        <f t="shared" si="5"/>
        <v>78.75</v>
      </c>
    </row>
    <row r="103" spans="1:11" x14ac:dyDescent="0.25">
      <c r="A103" s="17">
        <v>12</v>
      </c>
      <c r="B103" s="70">
        <v>45748</v>
      </c>
      <c r="D103" s="79">
        <v>112.5</v>
      </c>
      <c r="E103" s="36">
        <v>1</v>
      </c>
      <c r="G103" s="27" t="str">
        <f>INDEX('Stato patrimoniale'!J:J,MATCH(A103,'Stato patrimoniale'!A:A,0))</f>
        <v>EUR</v>
      </c>
      <c r="H103" s="86">
        <f t="shared" si="3"/>
        <v>112.5</v>
      </c>
      <c r="I103" s="88">
        <f>INDEX('Stato patrimoniale'!N:N,MATCH(A103,'Stato patrimoniale'!A:A,0))</f>
        <v>0.125</v>
      </c>
      <c r="J103" s="93">
        <f t="shared" si="4"/>
        <v>14.0625</v>
      </c>
      <c r="K103" s="59">
        <f t="shared" si="5"/>
        <v>98.4375</v>
      </c>
    </row>
    <row r="104" spans="1:11" x14ac:dyDescent="0.25">
      <c r="A104" s="17">
        <v>3</v>
      </c>
      <c r="B104" s="70">
        <v>45749</v>
      </c>
      <c r="D104" s="79">
        <v>2.94</v>
      </c>
      <c r="E104" s="36">
        <v>1</v>
      </c>
      <c r="G104" s="27" t="str">
        <f>INDEX('Stato patrimoniale'!J:J,MATCH(A104,'Stato patrimoniale'!A:A,0))</f>
        <v>EUR</v>
      </c>
      <c r="H104" s="86">
        <f t="shared" si="3"/>
        <v>2.94</v>
      </c>
      <c r="I104" s="88">
        <f>INDEX('Stato patrimoniale'!N:N,MATCH(A104,'Stato patrimoniale'!A:A,0))</f>
        <v>0.26</v>
      </c>
      <c r="J104" s="93">
        <f t="shared" si="4"/>
        <v>0.76439999999999997</v>
      </c>
      <c r="K104" s="59">
        <f t="shared" si="5"/>
        <v>2.1756000000000002</v>
      </c>
    </row>
    <row r="105" spans="1:11" x14ac:dyDescent="0.25">
      <c r="A105" s="17">
        <v>26</v>
      </c>
      <c r="B105" s="70">
        <v>45792</v>
      </c>
      <c r="E105" s="36">
        <v>1</v>
      </c>
      <c r="F105" s="79">
        <v>47.5</v>
      </c>
      <c r="G105" s="27" t="str">
        <f>INDEX('Stato patrimoniale'!J:J,MATCH(A105,'Stato patrimoniale'!A:A,0))</f>
        <v>USD</v>
      </c>
      <c r="H105" s="86">
        <f t="shared" si="3"/>
        <v>47.5</v>
      </c>
      <c r="I105" s="88">
        <f>INDEX('Stato patrimoniale'!N:N,MATCH(A105,'Stato patrimoniale'!A:A,0))</f>
        <v>0.125</v>
      </c>
      <c r="J105" s="93">
        <f t="shared" si="4"/>
        <v>5.9375</v>
      </c>
      <c r="K105" s="59">
        <f t="shared" si="5"/>
        <v>41.5625</v>
      </c>
    </row>
    <row r="106" spans="1:11" x14ac:dyDescent="0.25">
      <c r="A106" s="17">
        <v>21</v>
      </c>
      <c r="B106" s="70">
        <v>45797</v>
      </c>
      <c r="E106" s="36">
        <v>1</v>
      </c>
      <c r="F106" s="8">
        <v>0.39</v>
      </c>
      <c r="G106" s="27" t="str">
        <f>INDEX('Stato patrimoniale'!J:J,MATCH(A106,'Stato patrimoniale'!A:A,0))</f>
        <v>USD</v>
      </c>
      <c r="H106" s="86">
        <f t="shared" ref="H106:H149" si="6">F106+D106*E106</f>
        <v>0.39</v>
      </c>
      <c r="I106" s="88">
        <f>INDEX('Stato patrimoniale'!N:N,MATCH(A106,'Stato patrimoniale'!A:A,0))</f>
        <v>0.26</v>
      </c>
      <c r="J106" s="93">
        <f t="shared" ref="J106:J115" si="7">H106*I106</f>
        <v>0.1014</v>
      </c>
      <c r="K106" s="59">
        <f t="shared" ref="K106:K115" si="8">H106-(H106*I106)</f>
        <v>0.28860000000000002</v>
      </c>
    </row>
    <row r="107" spans="1:11" x14ac:dyDescent="0.25">
      <c r="A107" s="17">
        <v>20</v>
      </c>
      <c r="B107" s="70">
        <v>45798</v>
      </c>
      <c r="D107" s="79">
        <v>4.75</v>
      </c>
      <c r="E107" s="36">
        <v>1</v>
      </c>
      <c r="G107" s="27" t="str">
        <f>INDEX('Stato patrimoniale'!J:J,MATCH(A107,'Stato patrimoniale'!A:A,0))</f>
        <v>EUR</v>
      </c>
      <c r="H107" s="86">
        <f t="shared" si="6"/>
        <v>4.75</v>
      </c>
      <c r="I107" s="88">
        <f>INDEX('Stato patrimoniale'!N:N,MATCH(A107,'Stato patrimoniale'!A:A,0))</f>
        <v>0.26</v>
      </c>
      <c r="J107" s="93">
        <f t="shared" si="7"/>
        <v>1.2350000000000001</v>
      </c>
      <c r="K107" s="59">
        <f t="shared" si="8"/>
        <v>3.5149999999999997</v>
      </c>
    </row>
    <row r="108" spans="1:11" x14ac:dyDescent="0.25">
      <c r="A108" s="17">
        <v>17</v>
      </c>
      <c r="B108" s="70">
        <v>45798</v>
      </c>
      <c r="D108" s="79">
        <v>17.100000000000001</v>
      </c>
      <c r="E108" s="36">
        <v>1</v>
      </c>
      <c r="G108" s="27" t="str">
        <f>INDEX('Stato patrimoniale'!J:J,MATCH(A108,'Stato patrimoniale'!A:A,0))</f>
        <v>EUR</v>
      </c>
      <c r="H108" s="86">
        <f t="shared" si="6"/>
        <v>17.100000000000001</v>
      </c>
      <c r="I108" s="88">
        <f>INDEX('Stato patrimoniale'!N:N,MATCH(A108,'Stato patrimoniale'!A:A,0))</f>
        <v>0.26</v>
      </c>
      <c r="J108" s="93">
        <f t="shared" si="7"/>
        <v>4.4460000000000006</v>
      </c>
      <c r="K108" s="59">
        <f t="shared" si="8"/>
        <v>12.654</v>
      </c>
    </row>
    <row r="109" spans="1:11" x14ac:dyDescent="0.25">
      <c r="A109" s="17">
        <v>57</v>
      </c>
      <c r="B109" s="70">
        <v>45804</v>
      </c>
      <c r="D109" s="79">
        <v>14.25</v>
      </c>
      <c r="E109" s="36">
        <v>1</v>
      </c>
      <c r="G109" s="27" t="str">
        <f>INDEX('Stato patrimoniale'!J:J,MATCH(A109,'Stato patrimoniale'!A:A,0))</f>
        <v>EUR</v>
      </c>
      <c r="H109" s="86">
        <f t="shared" si="6"/>
        <v>14.25</v>
      </c>
      <c r="I109" s="88">
        <f>INDEX('Stato patrimoniale'!N:N,MATCH(A109,'Stato patrimoniale'!A:A,0))</f>
        <v>0.125</v>
      </c>
      <c r="J109" s="93">
        <f t="shared" si="7"/>
        <v>1.78125</v>
      </c>
      <c r="K109" s="59">
        <f t="shared" si="8"/>
        <v>12.46875</v>
      </c>
    </row>
    <row r="110" spans="1:11" x14ac:dyDescent="0.25">
      <c r="A110" s="17">
        <v>33</v>
      </c>
      <c r="B110" s="70">
        <v>45813</v>
      </c>
      <c r="D110" s="79">
        <v>16.25</v>
      </c>
      <c r="E110" s="36">
        <v>1</v>
      </c>
      <c r="G110" s="27" t="str">
        <f>INDEX('Stato patrimoniale'!J:J,MATCH(A110,'Stato patrimoniale'!A:A,0))</f>
        <v>EUR</v>
      </c>
      <c r="H110" s="86">
        <f t="shared" si="6"/>
        <v>16.25</v>
      </c>
      <c r="I110" s="88">
        <f>INDEX('Stato patrimoniale'!N:N,MATCH(A110,'Stato patrimoniale'!A:A,0))</f>
        <v>0.125</v>
      </c>
      <c r="J110" s="93">
        <f t="shared" si="7"/>
        <v>2.03125</v>
      </c>
      <c r="K110" s="59">
        <f t="shared" si="8"/>
        <v>14.21875</v>
      </c>
    </row>
    <row r="111" spans="1:11" x14ac:dyDescent="0.25">
      <c r="A111" s="17">
        <v>45</v>
      </c>
      <c r="B111" s="70">
        <v>45813</v>
      </c>
      <c r="D111" s="79">
        <v>55</v>
      </c>
      <c r="E111" s="36">
        <v>1</v>
      </c>
      <c r="G111" s="27" t="str">
        <f>INDEX('Stato patrimoniale'!J:J,MATCH(A111,'Stato patrimoniale'!A:A,0))</f>
        <v>EUR</v>
      </c>
      <c r="H111" s="86">
        <f t="shared" si="6"/>
        <v>55</v>
      </c>
      <c r="I111" s="88">
        <f>INDEX('Stato patrimoniale'!N:N,MATCH(A111,'Stato patrimoniale'!A:A,0))</f>
        <v>0.125</v>
      </c>
      <c r="J111" s="93">
        <f t="shared" si="7"/>
        <v>6.875</v>
      </c>
      <c r="K111" s="59">
        <f t="shared" si="8"/>
        <v>48.125</v>
      </c>
    </row>
    <row r="112" spans="1:11" x14ac:dyDescent="0.25">
      <c r="A112" s="17">
        <v>10</v>
      </c>
      <c r="B112" s="70">
        <v>45821</v>
      </c>
      <c r="D112" s="79">
        <v>162.5</v>
      </c>
      <c r="E112" s="36">
        <v>1</v>
      </c>
      <c r="G112" s="27" t="str">
        <f>INDEX('Stato patrimoniale'!J:J,MATCH(A112,'Stato patrimoniale'!A:A,0))</f>
        <v>EUR</v>
      </c>
      <c r="H112" s="86">
        <f t="shared" si="6"/>
        <v>162.5</v>
      </c>
      <c r="I112" s="88">
        <f>INDEX('Stato patrimoniale'!N:N,MATCH(A112,'Stato patrimoniale'!A:A,0))</f>
        <v>0.125</v>
      </c>
      <c r="J112" s="93">
        <f t="shared" si="7"/>
        <v>20.3125</v>
      </c>
      <c r="K112" s="59">
        <f t="shared" si="8"/>
        <v>142.1875</v>
      </c>
    </row>
    <row r="113" spans="1:11" x14ac:dyDescent="0.25">
      <c r="A113" s="17">
        <v>23</v>
      </c>
      <c r="B113" s="70">
        <v>45825</v>
      </c>
      <c r="E113" s="36">
        <v>1</v>
      </c>
      <c r="F113" s="8">
        <v>50.59</v>
      </c>
      <c r="G113" s="27" t="str">
        <f>INDEX('Stato patrimoniale'!J:J,MATCH(A113,'Stato patrimoniale'!A:A,0))</f>
        <v>USD</v>
      </c>
      <c r="H113" s="86">
        <f t="shared" si="6"/>
        <v>50.59</v>
      </c>
      <c r="I113" s="88">
        <f>INDEX('Stato patrimoniale'!N:N,MATCH(A113,'Stato patrimoniale'!A:A,0))</f>
        <v>0.26</v>
      </c>
      <c r="J113" s="93">
        <f t="shared" si="7"/>
        <v>13.153400000000001</v>
      </c>
      <c r="K113" s="59">
        <f t="shared" si="8"/>
        <v>37.436599999999999</v>
      </c>
    </row>
    <row r="114" spans="1:11" x14ac:dyDescent="0.25">
      <c r="A114" s="17">
        <v>5</v>
      </c>
      <c r="B114" s="70">
        <v>45833</v>
      </c>
      <c r="D114" s="79">
        <v>3.45</v>
      </c>
      <c r="E114" s="36">
        <v>1</v>
      </c>
      <c r="G114" s="27" t="str">
        <f>INDEX('Stato patrimoniale'!J:J,MATCH(A114,'Stato patrimoniale'!A:A,0))</f>
        <v>EUR</v>
      </c>
      <c r="H114" s="86">
        <f t="shared" si="6"/>
        <v>3.45</v>
      </c>
      <c r="I114" s="88">
        <f>INDEX('Stato patrimoniale'!N:N,MATCH(A114,'Stato patrimoniale'!A:A,0))</f>
        <v>0.26</v>
      </c>
      <c r="J114" s="93">
        <f t="shared" si="7"/>
        <v>0.89700000000000013</v>
      </c>
      <c r="K114" s="59">
        <f t="shared" si="8"/>
        <v>2.5529999999999999</v>
      </c>
    </row>
    <row r="115" spans="1:11" x14ac:dyDescent="0.25">
      <c r="A115" s="17">
        <v>15</v>
      </c>
      <c r="B115" s="70">
        <v>45833</v>
      </c>
      <c r="D115" s="79">
        <v>18.75</v>
      </c>
      <c r="E115" s="36">
        <v>1</v>
      </c>
      <c r="G115" s="27" t="str">
        <f>INDEX('Stato patrimoniale'!J:J,MATCH(A115,'Stato patrimoniale'!A:A,0))</f>
        <v>EUR</v>
      </c>
      <c r="H115" s="86">
        <f t="shared" si="6"/>
        <v>18.75</v>
      </c>
      <c r="I115" s="88">
        <f>INDEX('Stato patrimoniale'!N:N,MATCH(A115,'Stato patrimoniale'!A:A,0))</f>
        <v>0.26</v>
      </c>
      <c r="J115" s="93">
        <f t="shared" si="7"/>
        <v>4.875</v>
      </c>
      <c r="K115" s="59">
        <f t="shared" si="8"/>
        <v>13.875</v>
      </c>
    </row>
    <row r="116" spans="1:11" x14ac:dyDescent="0.25">
      <c r="A116" s="17">
        <v>3</v>
      </c>
      <c r="B116" s="70">
        <v>45840</v>
      </c>
      <c r="D116" s="79">
        <v>4.9400000000000004</v>
      </c>
      <c r="E116" s="36">
        <v>1</v>
      </c>
      <c r="G116" s="27" t="str">
        <f>INDEX('Stato patrimoniale'!J:J,MATCH(A116,'Stato patrimoniale'!A:A,0))</f>
        <v>EUR</v>
      </c>
      <c r="H116" s="86">
        <f t="shared" si="6"/>
        <v>4.9400000000000004</v>
      </c>
      <c r="I116" s="88">
        <f>INDEX('Stato patrimoniale'!N:N,MATCH(A116,'Stato patrimoniale'!A:A,0))</f>
        <v>0.26</v>
      </c>
      <c r="J116" s="93">
        <f t="shared" ref="J116:J158" si="9">H116*I116</f>
        <v>1.2844000000000002</v>
      </c>
      <c r="K116" s="59">
        <f t="shared" ref="K116:K158" si="10">H116-(H116*I116)</f>
        <v>3.6556000000000002</v>
      </c>
    </row>
    <row r="117" spans="1:11" x14ac:dyDescent="0.25">
      <c r="A117" s="17">
        <v>29</v>
      </c>
      <c r="B117" s="70">
        <v>45848</v>
      </c>
      <c r="D117" s="79">
        <v>51.25</v>
      </c>
      <c r="E117" s="36">
        <v>1</v>
      </c>
      <c r="G117" s="27" t="str">
        <f>INDEX('Stato patrimoniale'!J:J,MATCH(A117,'Stato patrimoniale'!A:A,0))</f>
        <v>EUR</v>
      </c>
      <c r="H117" s="86">
        <f t="shared" si="6"/>
        <v>51.25</v>
      </c>
      <c r="I117" s="88">
        <f>INDEX('Stato patrimoniale'!N:N,MATCH(A117,'Stato patrimoniale'!A:A,0))</f>
        <v>0.125</v>
      </c>
      <c r="J117" s="93">
        <f t="shared" si="9"/>
        <v>6.40625</v>
      </c>
      <c r="K117" s="59">
        <f t="shared" si="10"/>
        <v>44.84375</v>
      </c>
    </row>
    <row r="118" spans="1:11" x14ac:dyDescent="0.25">
      <c r="A118" s="17">
        <v>19</v>
      </c>
      <c r="B118" s="70">
        <v>45861</v>
      </c>
      <c r="D118" s="79">
        <v>10.199999999999999</v>
      </c>
      <c r="E118" s="36">
        <v>1</v>
      </c>
      <c r="G118" s="27" t="str">
        <f>INDEX('Stato patrimoniale'!J:J,MATCH(A118,'Stato patrimoniale'!A:A,0))</f>
        <v>EUR</v>
      </c>
      <c r="H118" s="86">
        <f t="shared" si="6"/>
        <v>10.199999999999999</v>
      </c>
      <c r="I118" s="88">
        <f>INDEX('Stato patrimoniale'!N:N,MATCH(A118,'Stato patrimoniale'!A:A,0))</f>
        <v>0.26</v>
      </c>
      <c r="J118" s="93">
        <f t="shared" si="9"/>
        <v>2.6519999999999997</v>
      </c>
      <c r="K118" s="59">
        <f t="shared" si="10"/>
        <v>7.548</v>
      </c>
    </row>
    <row r="119" spans="1:11" x14ac:dyDescent="0.25">
      <c r="A119" s="17">
        <v>37</v>
      </c>
      <c r="B119" s="70">
        <v>45866</v>
      </c>
      <c r="D119" s="79">
        <v>32</v>
      </c>
      <c r="E119" s="36">
        <v>1</v>
      </c>
      <c r="G119" s="27" t="str">
        <f>INDEX('Stato patrimoniale'!J:J,MATCH(A119,'Stato patrimoniale'!A:A,0))</f>
        <v>EUR</v>
      </c>
      <c r="H119" s="86">
        <f t="shared" si="6"/>
        <v>32</v>
      </c>
      <c r="I119" s="88">
        <f>INDEX('Stato patrimoniale'!N:N,MATCH(A119,'Stato patrimoniale'!A:A,0))</f>
        <v>0.125</v>
      </c>
      <c r="J119" s="93">
        <f t="shared" si="9"/>
        <v>4</v>
      </c>
      <c r="K119" s="59">
        <f t="shared" si="10"/>
        <v>28</v>
      </c>
    </row>
    <row r="120" spans="1:11" x14ac:dyDescent="0.25">
      <c r="A120" s="17">
        <v>31</v>
      </c>
      <c r="B120" s="70">
        <v>45868</v>
      </c>
      <c r="D120" s="79">
        <v>47</v>
      </c>
      <c r="E120" s="36">
        <v>1</v>
      </c>
      <c r="G120" s="27" t="str">
        <f>INDEX('Stato patrimoniale'!J:J,MATCH(A120,'Stato patrimoniale'!A:A,0))</f>
        <v>EUR</v>
      </c>
      <c r="H120" s="86">
        <f t="shared" si="6"/>
        <v>47</v>
      </c>
      <c r="I120" s="88">
        <f>INDEX('Stato patrimoniale'!N:N,MATCH(A120,'Stato patrimoniale'!A:A,0))</f>
        <v>0.125</v>
      </c>
      <c r="J120" s="93">
        <f t="shared" si="9"/>
        <v>5.875</v>
      </c>
      <c r="K120" s="59">
        <f t="shared" si="10"/>
        <v>41.125</v>
      </c>
    </row>
    <row r="121" spans="1:11" x14ac:dyDescent="0.25">
      <c r="A121" s="17">
        <v>11</v>
      </c>
      <c r="B121" s="70">
        <v>45884</v>
      </c>
      <c r="E121" s="36">
        <v>1</v>
      </c>
      <c r="F121" s="8">
        <v>128.34</v>
      </c>
      <c r="G121" s="27" t="str">
        <f>INDEX('Stato patrimoniale'!J:J,MATCH(A121,'Stato patrimoniale'!A:A,0))</f>
        <v>USD</v>
      </c>
      <c r="H121" s="86">
        <f t="shared" si="6"/>
        <v>128.34</v>
      </c>
      <c r="I121" s="88">
        <f>INDEX('Stato patrimoniale'!N:N,MATCH(A121,'Stato patrimoniale'!A:A,0))</f>
        <v>0.125</v>
      </c>
      <c r="J121" s="93">
        <f t="shared" si="9"/>
        <v>16.0425</v>
      </c>
      <c r="K121" s="59">
        <f t="shared" si="10"/>
        <v>112.2975</v>
      </c>
    </row>
    <row r="122" spans="1:11" x14ac:dyDescent="0.25">
      <c r="A122" s="17">
        <v>21</v>
      </c>
      <c r="B122" s="70">
        <v>45888</v>
      </c>
      <c r="D122" s="79">
        <v>0.38</v>
      </c>
      <c r="E122" s="36">
        <v>1</v>
      </c>
      <c r="G122" s="27" t="str">
        <f>INDEX('Stato patrimoniale'!J:J,MATCH(A122,'Stato patrimoniale'!A:A,0))</f>
        <v>USD</v>
      </c>
      <c r="H122" s="86">
        <f t="shared" si="6"/>
        <v>0.38</v>
      </c>
      <c r="I122" s="88">
        <f>INDEX('Stato patrimoniale'!N:N,MATCH(A122,'Stato patrimoniale'!A:A,0))</f>
        <v>0.26</v>
      </c>
      <c r="J122" s="93">
        <f t="shared" si="9"/>
        <v>9.8799999999999999E-2</v>
      </c>
      <c r="K122" s="59">
        <f t="shared" si="10"/>
        <v>0.28120000000000001</v>
      </c>
    </row>
    <row r="123" spans="1:11" x14ac:dyDescent="0.25">
      <c r="A123" s="17">
        <v>57</v>
      </c>
      <c r="B123" s="70">
        <v>45894</v>
      </c>
      <c r="D123" s="79">
        <v>14.25</v>
      </c>
      <c r="E123" s="36">
        <v>1</v>
      </c>
      <c r="G123" s="27" t="str">
        <f>INDEX('Stato patrimoniale'!J:J,MATCH(A123,'Stato patrimoniale'!A:A,0))</f>
        <v>EUR</v>
      </c>
      <c r="H123" s="86">
        <f t="shared" si="6"/>
        <v>14.25</v>
      </c>
      <c r="I123" s="88">
        <f>INDEX('Stato patrimoniale'!N:N,MATCH(A123,'Stato patrimoniale'!A:A,0))</f>
        <v>0.125</v>
      </c>
      <c r="J123" s="93">
        <f t="shared" si="9"/>
        <v>1.78125</v>
      </c>
      <c r="K123" s="59">
        <f t="shared" si="10"/>
        <v>12.46875</v>
      </c>
    </row>
    <row r="124" spans="1:11" x14ac:dyDescent="0.25">
      <c r="A124" s="17">
        <v>33</v>
      </c>
      <c r="B124" s="70">
        <v>45905</v>
      </c>
      <c r="D124" s="79">
        <v>16.25</v>
      </c>
      <c r="E124" s="36">
        <v>1</v>
      </c>
      <c r="G124" s="27" t="str">
        <f>INDEX('Stato patrimoniale'!J:J,MATCH(A124,'Stato patrimoniale'!A:A,0))</f>
        <v>EUR</v>
      </c>
      <c r="H124" s="86">
        <f t="shared" si="6"/>
        <v>16.25</v>
      </c>
      <c r="I124" s="88">
        <f>INDEX('Stato patrimoniale'!N:N,MATCH(A124,'Stato patrimoniale'!A:A,0))</f>
        <v>0.125</v>
      </c>
      <c r="J124" s="93">
        <f t="shared" si="9"/>
        <v>2.03125</v>
      </c>
      <c r="K124" s="59">
        <f t="shared" si="10"/>
        <v>14.21875</v>
      </c>
    </row>
    <row r="125" spans="1:11" x14ac:dyDescent="0.25">
      <c r="A125" s="17">
        <v>23</v>
      </c>
      <c r="B125" s="70">
        <v>45917</v>
      </c>
      <c r="E125" s="36">
        <v>1</v>
      </c>
      <c r="F125" s="8">
        <v>39.43</v>
      </c>
      <c r="G125" s="27" t="str">
        <f>INDEX('Stato patrimoniale'!J:J,MATCH(A125,'Stato patrimoniale'!A:A,0))</f>
        <v>USD</v>
      </c>
      <c r="H125" s="86">
        <f t="shared" si="6"/>
        <v>39.43</v>
      </c>
      <c r="I125" s="88">
        <f>INDEX('Stato patrimoniale'!N:N,MATCH(A125,'Stato patrimoniale'!A:A,0))</f>
        <v>0.26</v>
      </c>
      <c r="J125" s="93">
        <f t="shared" si="9"/>
        <v>10.251800000000001</v>
      </c>
      <c r="K125" s="59">
        <f t="shared" si="10"/>
        <v>29.178199999999997</v>
      </c>
    </row>
    <row r="126" spans="1:11" x14ac:dyDescent="0.25">
      <c r="A126" s="17">
        <v>23</v>
      </c>
      <c r="B126" s="70">
        <v>45917</v>
      </c>
      <c r="E126" s="36">
        <v>1</v>
      </c>
      <c r="F126" s="8">
        <v>10.15</v>
      </c>
      <c r="G126" s="27" t="str">
        <f>INDEX('Stato patrimoniale'!J:J,MATCH(A126,'Stato patrimoniale'!A:A,0))</f>
        <v>USD</v>
      </c>
      <c r="H126" s="86">
        <f t="shared" si="6"/>
        <v>10.15</v>
      </c>
      <c r="I126" s="88">
        <f>INDEX('Stato patrimoniale'!N:N,MATCH(A126,'Stato patrimoniale'!A:A,0))</f>
        <v>0.26</v>
      </c>
      <c r="J126" s="93">
        <f t="shared" si="9"/>
        <v>2.6390000000000002</v>
      </c>
      <c r="K126" s="59">
        <f t="shared" si="10"/>
        <v>7.5110000000000001</v>
      </c>
    </row>
    <row r="127" spans="1:11" x14ac:dyDescent="0.25">
      <c r="A127" s="17">
        <v>6</v>
      </c>
      <c r="B127" s="70">
        <v>45924</v>
      </c>
      <c r="D127" s="79">
        <v>3.36</v>
      </c>
      <c r="E127" s="36">
        <v>1</v>
      </c>
      <c r="G127" s="27" t="str">
        <f>INDEX('Stato patrimoniale'!J:J,MATCH(A127,'Stato patrimoniale'!A:A,0))</f>
        <v>EUR</v>
      </c>
      <c r="H127" s="86">
        <f t="shared" si="6"/>
        <v>3.36</v>
      </c>
      <c r="I127" s="88">
        <f>INDEX('Stato patrimoniale'!N:N,MATCH(A127,'Stato patrimoniale'!A:A,0))</f>
        <v>0.26</v>
      </c>
      <c r="J127" s="93">
        <f t="shared" si="9"/>
        <v>0.87360000000000004</v>
      </c>
      <c r="K127" s="59">
        <f t="shared" si="10"/>
        <v>2.4863999999999997</v>
      </c>
    </row>
    <row r="128" spans="1:11" x14ac:dyDescent="0.25">
      <c r="A128" s="17">
        <v>20</v>
      </c>
      <c r="B128" s="70">
        <v>45924</v>
      </c>
      <c r="D128" s="79">
        <v>4.9400000000000004</v>
      </c>
      <c r="E128" s="36">
        <v>1</v>
      </c>
      <c r="G128" s="27" t="str">
        <f>INDEX('Stato patrimoniale'!J:J,MATCH(A128,'Stato patrimoniale'!A:A,0))</f>
        <v>EUR</v>
      </c>
      <c r="H128" s="86">
        <f t="shared" si="6"/>
        <v>4.9400000000000004</v>
      </c>
      <c r="I128" s="88">
        <f>INDEX('Stato patrimoniale'!N:N,MATCH(A128,'Stato patrimoniale'!A:A,0))</f>
        <v>0.26</v>
      </c>
      <c r="J128" s="93">
        <f t="shared" si="9"/>
        <v>1.2844000000000002</v>
      </c>
      <c r="K128" s="59">
        <f t="shared" si="10"/>
        <v>3.6556000000000002</v>
      </c>
    </row>
    <row r="129" spans="1:11" x14ac:dyDescent="0.25">
      <c r="A129" s="17">
        <v>25</v>
      </c>
      <c r="B129" s="70">
        <v>45929</v>
      </c>
      <c r="D129" s="79">
        <v>90</v>
      </c>
      <c r="E129" s="36">
        <v>1</v>
      </c>
      <c r="G129" s="27" t="str">
        <f>INDEX('Stato patrimoniale'!J:J,MATCH(A129,'Stato patrimoniale'!A:A,0))</f>
        <v>EUR</v>
      </c>
      <c r="H129" s="86">
        <f t="shared" si="6"/>
        <v>90</v>
      </c>
      <c r="I129" s="88">
        <f>INDEX('Stato patrimoniale'!N:N,MATCH(A129,'Stato patrimoniale'!A:A,0))</f>
        <v>0.125</v>
      </c>
      <c r="J129" s="93">
        <f t="shared" si="9"/>
        <v>11.25</v>
      </c>
      <c r="K129" s="59">
        <f t="shared" si="10"/>
        <v>78.75</v>
      </c>
    </row>
    <row r="130" spans="1:11" x14ac:dyDescent="0.25">
      <c r="A130" s="17">
        <v>12</v>
      </c>
      <c r="B130" s="70">
        <v>45931</v>
      </c>
      <c r="D130" s="79">
        <v>112.5</v>
      </c>
      <c r="E130" s="36">
        <v>1</v>
      </c>
      <c r="G130" s="27" t="str">
        <f>INDEX('Stato patrimoniale'!J:J,MATCH(A130,'Stato patrimoniale'!A:A,0))</f>
        <v>EUR</v>
      </c>
      <c r="H130" s="86">
        <f t="shared" si="6"/>
        <v>112.5</v>
      </c>
      <c r="I130" s="88">
        <f>INDEX('Stato patrimoniale'!N:N,MATCH(A130,'Stato patrimoniale'!A:A,0))</f>
        <v>0.125</v>
      </c>
      <c r="J130" s="93">
        <f t="shared" si="9"/>
        <v>14.0625</v>
      </c>
      <c r="K130" s="59">
        <f t="shared" si="10"/>
        <v>98.4375</v>
      </c>
    </row>
    <row r="131" spans="1:11" x14ac:dyDescent="0.25">
      <c r="A131" s="17">
        <v>3</v>
      </c>
      <c r="B131" s="70">
        <v>45931</v>
      </c>
      <c r="D131" s="79">
        <v>4.53</v>
      </c>
      <c r="E131" s="36">
        <v>1</v>
      </c>
      <c r="G131" s="27" t="str">
        <f>INDEX('Stato patrimoniale'!J:J,MATCH(A131,'Stato patrimoniale'!A:A,0))</f>
        <v>EUR</v>
      </c>
      <c r="H131" s="86">
        <f t="shared" si="6"/>
        <v>4.53</v>
      </c>
      <c r="I131" s="88">
        <f>INDEX('Stato patrimoniale'!N:N,MATCH(A131,'Stato patrimoniale'!A:A,0))</f>
        <v>0.26</v>
      </c>
      <c r="J131" s="93">
        <f t="shared" si="9"/>
        <v>1.1778000000000002</v>
      </c>
      <c r="K131" s="59">
        <f t="shared" si="10"/>
        <v>3.3521999999999998</v>
      </c>
    </row>
    <row r="132" spans="1:11" x14ac:dyDescent="0.25">
      <c r="A132" s="17">
        <v>29</v>
      </c>
      <c r="B132" s="70">
        <v>45940</v>
      </c>
      <c r="D132" s="79">
        <v>51.25</v>
      </c>
      <c r="E132" s="36">
        <v>1</v>
      </c>
      <c r="G132" s="27" t="str">
        <f>INDEX('Stato patrimoniale'!J:J,MATCH(A132,'Stato patrimoniale'!A:A,0))</f>
        <v>EUR</v>
      </c>
      <c r="H132" s="86">
        <f t="shared" si="6"/>
        <v>51.25</v>
      </c>
      <c r="I132" s="88">
        <f>INDEX('Stato patrimoniale'!N:N,MATCH(A132,'Stato patrimoniale'!A:A,0))</f>
        <v>0.125</v>
      </c>
      <c r="J132" s="93">
        <f t="shared" si="9"/>
        <v>6.40625</v>
      </c>
      <c r="K132" s="59">
        <f t="shared" si="10"/>
        <v>44.84375</v>
      </c>
    </row>
    <row r="133" spans="1:11" x14ac:dyDescent="0.25">
      <c r="A133" s="17">
        <v>21</v>
      </c>
      <c r="B133" s="70">
        <v>45978</v>
      </c>
      <c r="E133" s="36">
        <v>1</v>
      </c>
      <c r="F133" s="8">
        <v>0.38</v>
      </c>
      <c r="G133" s="27" t="str">
        <f>INDEX('Stato patrimoniale'!J:J,MATCH(A133,'Stato patrimoniale'!A:A,0))</f>
        <v>USD</v>
      </c>
      <c r="H133" s="86">
        <f t="shared" si="6"/>
        <v>0.38</v>
      </c>
      <c r="I133" s="88">
        <f>INDEX('Stato patrimoniale'!N:N,MATCH(A133,'Stato patrimoniale'!A:A,0))</f>
        <v>0.26</v>
      </c>
      <c r="J133" s="93">
        <f t="shared" si="9"/>
        <v>9.8799999999999999E-2</v>
      </c>
      <c r="K133" s="59">
        <f t="shared" si="10"/>
        <v>0.28120000000000001</v>
      </c>
    </row>
    <row r="134" spans="1:11" x14ac:dyDescent="0.25">
      <c r="A134" s="17">
        <v>57</v>
      </c>
      <c r="B134" s="70">
        <v>45986</v>
      </c>
      <c r="D134" s="79">
        <v>14.25</v>
      </c>
      <c r="E134" s="36">
        <v>1</v>
      </c>
      <c r="G134" s="27" t="str">
        <f>INDEX('Stato patrimoniale'!J:J,MATCH(A134,'Stato patrimoniale'!A:A,0))</f>
        <v>EUR</v>
      </c>
      <c r="H134" s="86">
        <f t="shared" si="6"/>
        <v>14.25</v>
      </c>
      <c r="I134" s="88">
        <f>INDEX('Stato patrimoniale'!N:N,MATCH(A134,'Stato patrimoniale'!A:A,0))</f>
        <v>0.125</v>
      </c>
      <c r="J134" s="93">
        <f t="shared" si="9"/>
        <v>1.78125</v>
      </c>
      <c r="K134" s="59">
        <f t="shared" si="10"/>
        <v>12.46875</v>
      </c>
    </row>
    <row r="135" spans="1:11" x14ac:dyDescent="0.25">
      <c r="A135" s="17">
        <v>63</v>
      </c>
      <c r="B135" s="70">
        <v>45995</v>
      </c>
      <c r="D135" s="79">
        <v>23.16</v>
      </c>
      <c r="E135" s="36">
        <v>1</v>
      </c>
      <c r="G135" s="27" t="str">
        <f>INDEX('Stato patrimoniale'!J:J,MATCH(A135,'Stato patrimoniale'!A:A,0))</f>
        <v>EUR</v>
      </c>
      <c r="H135" s="86">
        <f t="shared" si="6"/>
        <v>23.16</v>
      </c>
      <c r="I135" s="88">
        <f>INDEX('Stato patrimoniale'!N:N,MATCH(A135,'Stato patrimoniale'!A:A,0))</f>
        <v>0.125</v>
      </c>
      <c r="J135" s="93">
        <f t="shared" si="9"/>
        <v>2.895</v>
      </c>
      <c r="K135" s="59">
        <f t="shared" si="10"/>
        <v>20.265000000000001</v>
      </c>
    </row>
    <row r="136" spans="1:11" x14ac:dyDescent="0.25">
      <c r="A136" s="17">
        <v>33</v>
      </c>
      <c r="B136" s="70">
        <v>45996</v>
      </c>
      <c r="D136" s="79">
        <v>16.25</v>
      </c>
      <c r="E136" s="36">
        <v>1</v>
      </c>
      <c r="G136" s="27" t="str">
        <f>INDEX('Stato patrimoniale'!J:J,MATCH(A136,'Stato patrimoniale'!A:A,0))</f>
        <v>EUR</v>
      </c>
      <c r="H136" s="86">
        <f t="shared" si="6"/>
        <v>16.25</v>
      </c>
      <c r="I136" s="88">
        <f>INDEX('Stato patrimoniale'!N:N,MATCH(A136,'Stato patrimoniale'!A:A,0))</f>
        <v>0.125</v>
      </c>
      <c r="J136" s="93">
        <f t="shared" si="9"/>
        <v>2.03125</v>
      </c>
      <c r="K136" s="59">
        <f t="shared" si="10"/>
        <v>14.21875</v>
      </c>
    </row>
    <row r="137" spans="1:11" x14ac:dyDescent="0.25">
      <c r="A137" s="17">
        <v>45</v>
      </c>
      <c r="B137" s="70">
        <v>46002</v>
      </c>
      <c r="D137" s="79">
        <v>45</v>
      </c>
      <c r="E137" s="36">
        <v>1</v>
      </c>
      <c r="G137" s="27" t="str">
        <f>INDEX('Stato patrimoniale'!J:J,MATCH(A137,'Stato patrimoniale'!A:A,0))</f>
        <v>EUR</v>
      </c>
      <c r="H137" s="86">
        <f t="shared" si="6"/>
        <v>45</v>
      </c>
      <c r="I137" s="88">
        <f>INDEX('Stato patrimoniale'!N:N,MATCH(A137,'Stato patrimoniale'!A:A,0))</f>
        <v>0.125</v>
      </c>
      <c r="J137" s="93">
        <f t="shared" si="9"/>
        <v>5.625</v>
      </c>
      <c r="K137" s="59">
        <f t="shared" si="10"/>
        <v>39.375</v>
      </c>
    </row>
    <row r="138" spans="1:11" x14ac:dyDescent="0.25">
      <c r="A138" s="17">
        <v>10</v>
      </c>
      <c r="B138" s="70">
        <v>46006</v>
      </c>
      <c r="D138" s="79">
        <v>200</v>
      </c>
      <c r="E138" s="36">
        <v>1</v>
      </c>
      <c r="G138" s="27" t="str">
        <f>INDEX('Stato patrimoniale'!J:J,MATCH(A138,'Stato patrimoniale'!A:A,0))</f>
        <v>EUR</v>
      </c>
      <c r="H138" s="86">
        <f t="shared" si="6"/>
        <v>200</v>
      </c>
      <c r="I138" s="88">
        <f>INDEX('Stato patrimoniale'!N:N,MATCH(A138,'Stato patrimoniale'!A:A,0))</f>
        <v>0.125</v>
      </c>
      <c r="J138" s="93">
        <f t="shared" si="9"/>
        <v>25</v>
      </c>
      <c r="K138" s="59">
        <f t="shared" si="10"/>
        <v>175</v>
      </c>
    </row>
    <row r="139" spans="1:11" x14ac:dyDescent="0.25">
      <c r="A139" s="17">
        <v>23</v>
      </c>
      <c r="B139" s="70">
        <v>46006</v>
      </c>
      <c r="E139" s="36">
        <v>1</v>
      </c>
      <c r="F139" s="8">
        <v>11.19</v>
      </c>
      <c r="G139" s="27" t="str">
        <f>INDEX('Stato patrimoniale'!J:J,MATCH(A139,'Stato patrimoniale'!A:A,0))</f>
        <v>USD</v>
      </c>
      <c r="H139" s="86">
        <f t="shared" si="6"/>
        <v>11.19</v>
      </c>
      <c r="I139" s="88">
        <f>INDEX('Stato patrimoniale'!N:N,MATCH(A139,'Stato patrimoniale'!A:A,0))</f>
        <v>0.26</v>
      </c>
      <c r="J139" s="93">
        <f t="shared" si="9"/>
        <v>2.9093999999999998</v>
      </c>
      <c r="K139" s="59">
        <f t="shared" si="10"/>
        <v>8.2805999999999997</v>
      </c>
    </row>
    <row r="140" spans="1:11" x14ac:dyDescent="0.25">
      <c r="A140" s="17">
        <v>23</v>
      </c>
      <c r="B140" s="70">
        <v>46006</v>
      </c>
      <c r="E140" s="36">
        <v>1</v>
      </c>
      <c r="F140" s="8">
        <v>43.44</v>
      </c>
      <c r="G140" s="27" t="str">
        <f>INDEX('Stato patrimoniale'!J:J,MATCH(A140,'Stato patrimoniale'!A:A,0))</f>
        <v>USD</v>
      </c>
      <c r="H140" s="86">
        <f t="shared" si="6"/>
        <v>43.44</v>
      </c>
      <c r="I140" s="88">
        <f>INDEX('Stato patrimoniale'!N:N,MATCH(A140,'Stato patrimoniale'!A:A,0))</f>
        <v>0.26</v>
      </c>
      <c r="J140" s="93">
        <f t="shared" si="9"/>
        <v>11.2944</v>
      </c>
      <c r="K140" s="59">
        <f t="shared" si="10"/>
        <v>32.145600000000002</v>
      </c>
    </row>
    <row r="141" spans="1:11" x14ac:dyDescent="0.25">
      <c r="A141" s="17">
        <v>19</v>
      </c>
      <c r="B141" s="70">
        <v>46043</v>
      </c>
      <c r="D141" s="79">
        <v>9.1999999999999993</v>
      </c>
      <c r="E141" s="36">
        <v>1</v>
      </c>
      <c r="G141" s="27" t="str">
        <f>INDEX('Stato patrimoniale'!J:J,MATCH(A141,'Stato patrimoniale'!A:A,0))</f>
        <v>EUR</v>
      </c>
      <c r="H141" s="86">
        <f t="shared" si="6"/>
        <v>9.1999999999999993</v>
      </c>
      <c r="I141" s="88">
        <f>INDEX('Stato patrimoniale'!N:N,MATCH(A141,'Stato patrimoniale'!A:A,0))</f>
        <v>0.26</v>
      </c>
      <c r="J141" s="93">
        <f t="shared" si="9"/>
        <v>2.3919999999999999</v>
      </c>
      <c r="K141" s="59">
        <f t="shared" si="10"/>
        <v>6.8079999999999998</v>
      </c>
    </row>
    <row r="142" spans="1:11" x14ac:dyDescent="0.25">
      <c r="A142" s="17">
        <v>29</v>
      </c>
      <c r="B142" s="70">
        <v>46034</v>
      </c>
      <c r="D142" s="79">
        <v>51.25</v>
      </c>
      <c r="E142" s="36">
        <v>1</v>
      </c>
      <c r="G142" s="27" t="str">
        <f>INDEX('Stato patrimoniale'!J:J,MATCH(A142,'Stato patrimoniale'!A:A,0))</f>
        <v>EUR</v>
      </c>
      <c r="H142" s="86">
        <f t="shared" si="6"/>
        <v>51.25</v>
      </c>
      <c r="I142" s="88">
        <f>INDEX('Stato patrimoniale'!N:N,MATCH(A142,'Stato patrimoniale'!A:A,0))</f>
        <v>0.125</v>
      </c>
      <c r="J142" s="93">
        <f t="shared" si="9"/>
        <v>6.40625</v>
      </c>
      <c r="K142" s="59">
        <f t="shared" si="10"/>
        <v>44.84375</v>
      </c>
    </row>
    <row r="143" spans="1:11" x14ac:dyDescent="0.25">
      <c r="A143" s="17">
        <v>37</v>
      </c>
      <c r="B143" s="70">
        <v>46050</v>
      </c>
      <c r="D143" s="79">
        <v>32</v>
      </c>
      <c r="E143" s="36">
        <v>1</v>
      </c>
      <c r="G143" s="27" t="str">
        <f>INDEX('Stato patrimoniale'!J:J,MATCH(A143,'Stato patrimoniale'!A:A,0))</f>
        <v>EUR</v>
      </c>
      <c r="H143" s="86">
        <f t="shared" si="6"/>
        <v>32</v>
      </c>
      <c r="I143" s="88">
        <f>INDEX('Stato patrimoniale'!N:N,MATCH(A143,'Stato patrimoniale'!A:A,0))</f>
        <v>0.125</v>
      </c>
      <c r="J143" s="93">
        <f t="shared" si="9"/>
        <v>4</v>
      </c>
      <c r="K143" s="59">
        <f t="shared" si="10"/>
        <v>28</v>
      </c>
    </row>
    <row r="144" spans="1:11" x14ac:dyDescent="0.25">
      <c r="A144" s="17">
        <v>73</v>
      </c>
      <c r="B144" s="70">
        <v>46050</v>
      </c>
      <c r="D144" s="79">
        <v>39</v>
      </c>
      <c r="E144" s="36">
        <v>1</v>
      </c>
      <c r="G144" s="27" t="str">
        <f>INDEX('Stato patrimoniale'!J:J,MATCH(A144,'Stato patrimoniale'!A:A,0))</f>
        <v>EUR</v>
      </c>
      <c r="H144" s="86">
        <f t="shared" si="6"/>
        <v>39</v>
      </c>
      <c r="I144" s="88">
        <f>INDEX('Stato patrimoniale'!N:N,MATCH(A144,'Stato patrimoniale'!A:A,0))</f>
        <v>0.125</v>
      </c>
      <c r="J144" s="93">
        <f t="shared" si="9"/>
        <v>4.875</v>
      </c>
      <c r="K144" s="59">
        <f t="shared" si="10"/>
        <v>34.125</v>
      </c>
    </row>
    <row r="145" spans="1:11" x14ac:dyDescent="0.25">
      <c r="A145" s="17">
        <v>11</v>
      </c>
      <c r="B145" s="70">
        <v>46070</v>
      </c>
      <c r="E145" s="36">
        <v>1</v>
      </c>
      <c r="F145" s="8">
        <v>126.84</v>
      </c>
      <c r="G145" s="27" t="str">
        <f>INDEX('Stato patrimoniale'!J:J,MATCH(A145,'Stato patrimoniale'!A:A,0))</f>
        <v>USD</v>
      </c>
      <c r="H145" s="86">
        <f t="shared" si="6"/>
        <v>126.84</v>
      </c>
      <c r="I145" s="88">
        <f>INDEX('Stato patrimoniale'!N:N,MATCH(A145,'Stato patrimoniale'!A:A,0))</f>
        <v>0.125</v>
      </c>
      <c r="J145" s="93">
        <f t="shared" si="9"/>
        <v>15.855</v>
      </c>
      <c r="K145" s="59">
        <f t="shared" si="10"/>
        <v>110.985</v>
      </c>
    </row>
    <row r="146" spans="1:11" x14ac:dyDescent="0.25">
      <c r="A146" s="17">
        <v>21</v>
      </c>
      <c r="B146" s="70">
        <v>46071</v>
      </c>
      <c r="E146" s="36">
        <v>1</v>
      </c>
      <c r="F146" s="8">
        <v>0.37</v>
      </c>
      <c r="G146" s="27" t="str">
        <f>INDEX('Stato patrimoniale'!J:J,MATCH(A146,'Stato patrimoniale'!A:A,0))</f>
        <v>USD</v>
      </c>
      <c r="H146" s="86">
        <f t="shared" si="6"/>
        <v>0.37</v>
      </c>
      <c r="I146" s="88">
        <f>INDEX('Stato patrimoniale'!N:N,MATCH(A146,'Stato patrimoniale'!A:A,0))</f>
        <v>0.26</v>
      </c>
      <c r="J146" s="93">
        <f t="shared" si="9"/>
        <v>9.6200000000000008E-2</v>
      </c>
      <c r="K146" s="59">
        <f t="shared" si="10"/>
        <v>0.27379999999999999</v>
      </c>
    </row>
    <row r="147" spans="1:11" x14ac:dyDescent="0.25">
      <c r="A147" s="17">
        <v>57</v>
      </c>
      <c r="B147" s="70">
        <v>46078</v>
      </c>
      <c r="D147" s="79">
        <v>14.25</v>
      </c>
      <c r="E147" s="36">
        <v>1</v>
      </c>
      <c r="G147" s="27" t="str">
        <f>INDEX('Stato patrimoniale'!J:J,MATCH(A147,'Stato patrimoniale'!A:A,0))</f>
        <v>EUR</v>
      </c>
      <c r="H147" s="86">
        <f t="shared" si="6"/>
        <v>14.25</v>
      </c>
      <c r="I147" s="88">
        <f>INDEX('Stato patrimoniale'!N:N,MATCH(A147,'Stato patrimoniale'!A:A,0))</f>
        <v>0.125</v>
      </c>
      <c r="J147" s="93">
        <f t="shared" si="9"/>
        <v>1.78125</v>
      </c>
      <c r="K147" s="59">
        <f t="shared" si="10"/>
        <v>12.46875</v>
      </c>
    </row>
    <row r="148" spans="1:11" x14ac:dyDescent="0.25">
      <c r="A148" s="17">
        <v>33</v>
      </c>
      <c r="B148" s="70">
        <v>46086</v>
      </c>
      <c r="D148" s="79">
        <v>16.25</v>
      </c>
      <c r="E148" s="36">
        <v>1</v>
      </c>
      <c r="G148" s="27" t="str">
        <f>INDEX('Stato patrimoniale'!J:J,MATCH(A148,'Stato patrimoniale'!A:A,0))</f>
        <v>EUR</v>
      </c>
      <c r="H148" s="86">
        <f t="shared" si="6"/>
        <v>16.25</v>
      </c>
      <c r="I148" s="88">
        <f>INDEX('Stato patrimoniale'!N:N,MATCH(A148,'Stato patrimoniale'!A:A,0))</f>
        <v>0.125</v>
      </c>
      <c r="J148" s="93">
        <f t="shared" si="9"/>
        <v>2.03125</v>
      </c>
      <c r="K148" s="59">
        <f t="shared" si="10"/>
        <v>14.21875</v>
      </c>
    </row>
    <row r="149" spans="1:11" x14ac:dyDescent="0.25">
      <c r="A149" s="17">
        <v>23</v>
      </c>
      <c r="B149" s="70">
        <v>46098</v>
      </c>
      <c r="E149" s="36">
        <v>1</v>
      </c>
      <c r="F149" s="8">
        <v>44.48</v>
      </c>
      <c r="G149" s="27" t="str">
        <f>INDEX('Stato patrimoniale'!J:J,MATCH(A149,'Stato patrimoniale'!A:A,0))</f>
        <v>USD</v>
      </c>
      <c r="H149" s="86">
        <f t="shared" si="6"/>
        <v>44.48</v>
      </c>
      <c r="I149" s="88">
        <f>INDEX('Stato patrimoniale'!N:N,MATCH(A149,'Stato patrimoniale'!A:A,0))</f>
        <v>0.26</v>
      </c>
      <c r="J149" s="93">
        <f t="shared" si="9"/>
        <v>11.5648</v>
      </c>
      <c r="K149" s="59">
        <f t="shared" si="10"/>
        <v>32.915199999999999</v>
      </c>
    </row>
    <row r="150" spans="1:11" x14ac:dyDescent="0.25">
      <c r="A150" s="17">
        <v>23</v>
      </c>
      <c r="B150" s="70">
        <v>46098</v>
      </c>
      <c r="E150" s="36">
        <v>1</v>
      </c>
      <c r="F150" s="8">
        <v>22.91</v>
      </c>
      <c r="G150" s="27" t="str">
        <f>INDEX('Stato patrimoniale'!J:J,MATCH(A150,'Stato patrimoniale'!A:A,0))</f>
        <v>USD</v>
      </c>
      <c r="H150" s="86">
        <f t="shared" ref="H150:H158" si="11">F150+D150*E150</f>
        <v>22.91</v>
      </c>
      <c r="I150" s="88">
        <f>INDEX('Stato patrimoniale'!N:N,MATCH(A150,'Stato patrimoniale'!A:A,0))</f>
        <v>0.26</v>
      </c>
      <c r="J150" s="93">
        <f t="shared" si="9"/>
        <v>5.9565999999999999</v>
      </c>
      <c r="K150" s="59">
        <f t="shared" si="10"/>
        <v>16.953400000000002</v>
      </c>
    </row>
    <row r="151" spans="1:11" x14ac:dyDescent="0.25">
      <c r="A151" s="17">
        <v>20</v>
      </c>
      <c r="B151" s="70">
        <v>46106</v>
      </c>
      <c r="D151" s="79">
        <v>4.9400000000000004</v>
      </c>
      <c r="E151" s="36">
        <v>1</v>
      </c>
      <c r="G151" s="27" t="str">
        <f>INDEX('Stato patrimoniale'!J:J,MATCH(A151,'Stato patrimoniale'!A:A,0))</f>
        <v>EUR</v>
      </c>
      <c r="H151" s="86">
        <f t="shared" si="11"/>
        <v>4.9400000000000004</v>
      </c>
      <c r="I151" s="88">
        <f>INDEX('Stato patrimoniale'!N:N,MATCH(A151,'Stato patrimoniale'!A:A,0))</f>
        <v>0.26</v>
      </c>
      <c r="J151" s="93">
        <f t="shared" si="9"/>
        <v>1.2844000000000002</v>
      </c>
      <c r="K151" s="59">
        <f t="shared" si="10"/>
        <v>3.6556000000000002</v>
      </c>
    </row>
    <row r="152" spans="1:11" x14ac:dyDescent="0.25">
      <c r="A152" s="17">
        <v>12</v>
      </c>
      <c r="B152" s="70">
        <v>46113</v>
      </c>
      <c r="D152" s="79">
        <v>112.5</v>
      </c>
      <c r="E152" s="36">
        <v>1</v>
      </c>
      <c r="G152" s="27" t="str">
        <f>INDEX('Stato patrimoniale'!J:J,MATCH(A152,'Stato patrimoniale'!A:A,0))</f>
        <v>EUR</v>
      </c>
      <c r="H152" s="86">
        <f t="shared" si="11"/>
        <v>112.5</v>
      </c>
      <c r="I152" s="88">
        <f>INDEX('Stato patrimoniale'!N:N,MATCH(A152,'Stato patrimoniale'!A:A,0))</f>
        <v>0.125</v>
      </c>
      <c r="J152" s="93">
        <f t="shared" si="9"/>
        <v>14.0625</v>
      </c>
      <c r="K152" s="59">
        <f t="shared" si="10"/>
        <v>98.4375</v>
      </c>
    </row>
    <row r="153" spans="1:11" x14ac:dyDescent="0.25">
      <c r="A153" s="17">
        <v>58</v>
      </c>
      <c r="B153" s="70">
        <v>46073</v>
      </c>
      <c r="D153" s="79">
        <v>15</v>
      </c>
      <c r="E153" s="36">
        <v>1</v>
      </c>
      <c r="G153" s="27" t="str">
        <f>INDEX('Stato patrimoniale'!J:J,MATCH(A153,'Stato patrimoniale'!A:A,0))</f>
        <v>EUR</v>
      </c>
      <c r="H153" s="86">
        <f t="shared" si="11"/>
        <v>15</v>
      </c>
      <c r="I153" s="88">
        <f>INDEX('Stato patrimoniale'!N:N,MATCH(A153,'Stato patrimoniale'!A:A,0))</f>
        <v>0.125</v>
      </c>
      <c r="J153" s="93">
        <f t="shared" si="9"/>
        <v>1.875</v>
      </c>
      <c r="K153" s="59">
        <f t="shared" si="10"/>
        <v>13.125</v>
      </c>
    </row>
    <row r="154" spans="1:11" x14ac:dyDescent="0.25">
      <c r="A154" s="17">
        <v>29</v>
      </c>
      <c r="B154" s="70">
        <v>46122</v>
      </c>
      <c r="D154" s="79">
        <v>51.25</v>
      </c>
      <c r="E154" s="36">
        <v>1</v>
      </c>
      <c r="G154" s="27" t="str">
        <f>INDEX('Stato patrimoniale'!J:J,MATCH(A154,'Stato patrimoniale'!A:A,0))</f>
        <v>EUR</v>
      </c>
      <c r="H154" s="86">
        <f t="shared" si="11"/>
        <v>51.25</v>
      </c>
      <c r="I154" s="88">
        <f>INDEX('Stato patrimoniale'!N:N,MATCH(A154,'Stato patrimoniale'!A:A,0))</f>
        <v>0.125</v>
      </c>
      <c r="J154" s="93">
        <f t="shared" si="9"/>
        <v>6.40625</v>
      </c>
      <c r="K154" s="59">
        <f t="shared" si="10"/>
        <v>44.84375</v>
      </c>
    </row>
    <row r="155" spans="1:11" x14ac:dyDescent="0.25">
      <c r="A155" s="17">
        <v>73</v>
      </c>
      <c r="B155" s="70">
        <v>46140</v>
      </c>
      <c r="D155" s="79">
        <v>39</v>
      </c>
      <c r="E155" s="36">
        <v>1</v>
      </c>
      <c r="G155" s="27" t="str">
        <f>INDEX('Stato patrimoniale'!J:J,MATCH(A155,'Stato patrimoniale'!A:A,0))</f>
        <v>EUR</v>
      </c>
      <c r="H155" s="86">
        <f t="shared" si="11"/>
        <v>39</v>
      </c>
      <c r="I155" s="88">
        <f>INDEX('Stato patrimoniale'!N:N,MATCH(A155,'Stato patrimoniale'!A:A,0))</f>
        <v>0.125</v>
      </c>
      <c r="J155" s="93">
        <f t="shared" si="9"/>
        <v>4.875</v>
      </c>
      <c r="K155" s="59">
        <f t="shared" si="10"/>
        <v>34.125</v>
      </c>
    </row>
    <row r="156" spans="1:11" x14ac:dyDescent="0.25">
      <c r="A156" s="17">
        <v>21</v>
      </c>
      <c r="B156" s="70">
        <v>46160</v>
      </c>
      <c r="E156" s="36">
        <v>1</v>
      </c>
      <c r="F156" s="8">
        <v>0.39</v>
      </c>
      <c r="G156" s="27" t="str">
        <f>INDEX('Stato patrimoniale'!J:J,MATCH(A156,'Stato patrimoniale'!A:A,0))</f>
        <v>USD</v>
      </c>
      <c r="H156" s="86">
        <f t="shared" si="11"/>
        <v>0.39</v>
      </c>
      <c r="I156" s="88">
        <f>INDEX('Stato patrimoniale'!N:N,MATCH(A156,'Stato patrimoniale'!A:A,0))</f>
        <v>0.26</v>
      </c>
      <c r="J156" s="93">
        <f t="shared" si="9"/>
        <v>0.1014</v>
      </c>
      <c r="K156" s="59">
        <f t="shared" si="10"/>
        <v>0.28860000000000002</v>
      </c>
    </row>
    <row r="157" spans="1:11" x14ac:dyDescent="0.25">
      <c r="A157" s="17">
        <v>20</v>
      </c>
      <c r="B157" s="70">
        <v>46162</v>
      </c>
      <c r="D157" s="79">
        <v>5.13</v>
      </c>
      <c r="E157" s="36">
        <v>1</v>
      </c>
      <c r="G157" s="27" t="str">
        <f>INDEX('Stato patrimoniale'!J:J,MATCH(A157,'Stato patrimoniale'!A:A,0))</f>
        <v>EUR</v>
      </c>
      <c r="H157" s="86">
        <f t="shared" si="11"/>
        <v>5.13</v>
      </c>
      <c r="I157" s="88">
        <f>INDEX('Stato patrimoniale'!N:N,MATCH(A157,'Stato patrimoniale'!A:A,0))</f>
        <v>0.26</v>
      </c>
      <c r="J157" s="93">
        <f t="shared" si="9"/>
        <v>1.3338000000000001</v>
      </c>
      <c r="K157" s="59">
        <f t="shared" si="10"/>
        <v>3.7961999999999998</v>
      </c>
    </row>
    <row r="158" spans="1:11" x14ac:dyDescent="0.25">
      <c r="A158" s="17">
        <v>57</v>
      </c>
      <c r="B158" s="70">
        <v>46167</v>
      </c>
      <c r="D158" s="79">
        <v>14.25</v>
      </c>
      <c r="E158" s="36">
        <v>1</v>
      </c>
      <c r="G158" s="27" t="str">
        <f>INDEX('Stato patrimoniale'!J:J,MATCH(A158,'Stato patrimoniale'!A:A,0))</f>
        <v>EUR</v>
      </c>
      <c r="H158" s="86">
        <f t="shared" si="11"/>
        <v>14.25</v>
      </c>
      <c r="I158" s="88">
        <f>INDEX('Stato patrimoniale'!N:N,MATCH(A158,'Stato patrimoniale'!A:A,0))</f>
        <v>0.125</v>
      </c>
      <c r="J158" s="93">
        <f t="shared" si="9"/>
        <v>1.78125</v>
      </c>
      <c r="K158" s="59">
        <f t="shared" si="10"/>
        <v>12.46875</v>
      </c>
    </row>
  </sheetData>
  <autoFilter ref="A1:K105" xr:uid="{AD1B48CD-9529-46B2-8C4A-EAAF6702B7ED}">
    <sortState xmlns:xlrd2="http://schemas.microsoft.com/office/spreadsheetml/2017/richdata2" ref="A2:K41">
      <sortCondition ref="B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0B62-BD1B-4BA0-B15B-38146061904A}">
  <dimension ref="A1:D46"/>
  <sheetViews>
    <sheetView showZeros="0" topLeftCell="A19" workbookViewId="0">
      <selection activeCell="D35" sqref="D35:D45"/>
    </sheetView>
  </sheetViews>
  <sheetFormatPr defaultRowHeight="15" x14ac:dyDescent="0.25"/>
  <cols>
    <col min="1" max="2" width="13.42578125" bestFit="1" customWidth="1"/>
    <col min="3" max="3" width="53.5703125" bestFit="1" customWidth="1"/>
  </cols>
  <sheetData>
    <row r="1" spans="1:4" x14ac:dyDescent="0.25">
      <c r="A1" t="s">
        <v>565</v>
      </c>
      <c r="B1" t="s">
        <v>17</v>
      </c>
      <c r="C1" t="s">
        <v>566</v>
      </c>
      <c r="D1" t="s">
        <v>567</v>
      </c>
    </row>
    <row r="2" spans="1:4" x14ac:dyDescent="0.25">
      <c r="A2" t="str">
        <f>IF(INDEX('Stato patrimoniale'!L:L,MATCH(C2,'Stato patrimoniale'!C:C,0))&lt;&gt;0,INDEX('Stato patrimoniale'!L:L,MATCH(C2,'Stato patrimoniale'!C:C,0)),"")</f>
        <v>CNHI.VI</v>
      </c>
      <c r="B2" t="str">
        <f>INDEX('Stato patrimoniale'!K:K,MATCH(C2,'Stato patrimoniale'!C:C,0))</f>
        <v>NL0010545661</v>
      </c>
      <c r="C2" t="str" cm="1">
        <f t="array" ref="C2:C46">_xlfn.UNIQUE('Stato patrimoniale'!C2:C106)</f>
        <v>CNH Industrial</v>
      </c>
      <c r="D2" t="str">
        <f>INDEX('Stato patrimoniale'!J:J,MATCH(C2,'Stato patrimoniale'!C:C,0))</f>
        <v>EUR</v>
      </c>
    </row>
    <row r="3" spans="1:4" x14ac:dyDescent="0.25">
      <c r="A3" t="str">
        <f>IF(INDEX('Stato patrimoniale'!L:L,MATCH(C3,'Stato patrimoniale'!C:C,0))&lt;&gt;0,INDEX('Stato patrimoniale'!L:L,MATCH(C3,'Stato patrimoniale'!C:C,0)),"")</f>
        <v>UCG.MI</v>
      </c>
      <c r="B3" t="str">
        <f>INDEX('Stato patrimoniale'!K:K,MATCH(C3,'Stato patrimoniale'!C:C,0))</f>
        <v>IT0005239360</v>
      </c>
      <c r="C3" t="str">
        <v>Unicredit</v>
      </c>
      <c r="D3" t="str">
        <f>INDEX('Stato patrimoniale'!J:J,MATCH(C3,'Stato patrimoniale'!C:C,0))</f>
        <v>EUR</v>
      </c>
    </row>
    <row r="4" spans="1:4" x14ac:dyDescent="0.25">
      <c r="A4" t="str">
        <f>IF(INDEX('Stato patrimoniale'!L:L,MATCH(C4,'Stato patrimoniale'!C:C,0))&lt;&gt;0,INDEX('Stato patrimoniale'!L:L,MATCH(C4,'Stato patrimoniale'!C:C,0)),"")</f>
        <v>PST.MI</v>
      </c>
      <c r="B4" t="str">
        <f>INDEX('Stato patrimoniale'!K:K,MATCH(C4,'Stato patrimoniale'!C:C,0))</f>
        <v>IT0003796171</v>
      </c>
      <c r="C4" t="str">
        <v>Poste Italiane</v>
      </c>
      <c r="D4" t="str">
        <f>INDEX('Stato patrimoniale'!J:J,MATCH(C4,'Stato patrimoniale'!C:C,0))</f>
        <v>EUR</v>
      </c>
    </row>
    <row r="5" spans="1:4" x14ac:dyDescent="0.25">
      <c r="A5" t="str">
        <f>IF(INDEX('Stato patrimoniale'!L:L,MATCH(C5,'Stato patrimoniale'!C:C,0))&lt;&gt;0,INDEX('Stato patrimoniale'!L:L,MATCH(C5,'Stato patrimoniale'!C:C,0)),"")</f>
        <v>STMMI.MI</v>
      </c>
      <c r="B5" t="str">
        <f>INDEX('Stato patrimoniale'!K:K,MATCH(C5,'Stato patrimoniale'!C:C,0))</f>
        <v>NL0000226223</v>
      </c>
      <c r="C5" t="str">
        <v>STMicroElectronics</v>
      </c>
      <c r="D5" t="str">
        <f>INDEX('Stato patrimoniale'!J:J,MATCH(C5,'Stato patrimoniale'!C:C,0))</f>
        <v>EUR</v>
      </c>
    </row>
    <row r="6" spans="1:4" x14ac:dyDescent="0.25">
      <c r="A6" t="str">
        <f>IF(INDEX('Stato patrimoniale'!L:L,MATCH(C6,'Stato patrimoniale'!C:C,0))&lt;&gt;0,INDEX('Stato patrimoniale'!L:L,MATCH(C6,'Stato patrimoniale'!C:C,0)),"")</f>
        <v>ISP.MI</v>
      </c>
      <c r="B6" t="str">
        <f>INDEX('Stato patrimoniale'!K:K,MATCH(C6,'Stato patrimoniale'!C:C,0))</f>
        <v>IT0000072618</v>
      </c>
      <c r="C6" t="str">
        <v>Intesa San Paolo</v>
      </c>
      <c r="D6" t="str">
        <f>INDEX('Stato patrimoniale'!J:J,MATCH(C6,'Stato patrimoniale'!C:C,0))</f>
        <v>EUR</v>
      </c>
    </row>
    <row r="7" spans="1:4" x14ac:dyDescent="0.25">
      <c r="A7" t="str">
        <f>IF(INDEX('Stato patrimoniale'!L:L,MATCH(C7,'Stato patrimoniale'!C:C,0))&lt;&gt;0,INDEX('Stato patrimoniale'!L:L,MATCH(C7,'Stato patrimoniale'!C:C,0)),"")</f>
        <v>LDO.MI</v>
      </c>
      <c r="B7" t="str">
        <f>INDEX('Stato patrimoniale'!K:K,MATCH(C7,'Stato patrimoniale'!C:C,0))</f>
        <v>IT0003856405</v>
      </c>
      <c r="C7" t="str">
        <v>Leonardo</v>
      </c>
      <c r="D7" t="str">
        <f>INDEX('Stato patrimoniale'!J:J,MATCH(C7,'Stato patrimoniale'!C:C,0))</f>
        <v>EUR</v>
      </c>
    </row>
    <row r="8" spans="1:4" x14ac:dyDescent="0.25">
      <c r="A8" t="str">
        <f>IF(INDEX('Stato patrimoniale'!L:L,MATCH(C8,'Stato patrimoniale'!C:C,0))&lt;&gt;0,INDEX('Stato patrimoniale'!L:L,MATCH(C8,'Stato patrimoniale'!C:C,0)),"")</f>
        <v>ENEL.MI</v>
      </c>
      <c r="B8" t="str">
        <f>INDEX('Stato patrimoniale'!K:K,MATCH(C8,'Stato patrimoniale'!C:C,0))</f>
        <v>IT0003128367</v>
      </c>
      <c r="C8" t="str">
        <v>Enel</v>
      </c>
      <c r="D8" t="str">
        <f>INDEX('Stato patrimoniale'!J:J,MATCH(C8,'Stato patrimoniale'!C:C,0))</f>
        <v>EUR</v>
      </c>
    </row>
    <row r="9" spans="1:4" x14ac:dyDescent="0.25">
      <c r="A9" t="str">
        <f>IF(INDEX('Stato patrimoniale'!L:L,MATCH(C9,'Stato patrimoniale'!C:C,0))&lt;&gt;0,INDEX('Stato patrimoniale'!L:L,MATCH(C9,'Stato patrimoniale'!C:C,0)),"")</f>
        <v>ENI.MI</v>
      </c>
      <c r="B9" t="str">
        <f>INDEX('Stato patrimoniale'!K:K,MATCH(C9,'Stato patrimoniale'!C:C,0))</f>
        <v>IT0003132476</v>
      </c>
      <c r="C9" t="str">
        <v>Eni</v>
      </c>
      <c r="D9" t="str">
        <f>INDEX('Stato patrimoniale'!J:J,MATCH(C9,'Stato patrimoniale'!C:C,0))</f>
        <v>EUR</v>
      </c>
    </row>
    <row r="10" spans="1:4" x14ac:dyDescent="0.25">
      <c r="A10" t="str">
        <f>IF(INDEX('Stato patrimoniale'!L:L,MATCH(C10,'Stato patrimoniale'!C:C,0))&lt;&gt;0,INDEX('Stato patrimoniale'!L:L,MATCH(C10,'Stato patrimoniale'!C:C,0)),"")</f>
        <v>AAPL</v>
      </c>
      <c r="B10" t="str">
        <f>INDEX('Stato patrimoniale'!K:K,MATCH(C10,'Stato patrimoniale'!C:C,0))</f>
        <v>US0378331005</v>
      </c>
      <c r="C10" t="str">
        <v>Apple</v>
      </c>
      <c r="D10" t="str">
        <f>INDEX('Stato patrimoniale'!J:J,MATCH(C10,'Stato patrimoniale'!C:C,0))</f>
        <v>USD</v>
      </c>
    </row>
    <row r="11" spans="1:4" x14ac:dyDescent="0.25">
      <c r="A11" t="str">
        <f>IF(INDEX('Stato patrimoniale'!L:L,MATCH(C11,'Stato patrimoniale'!C:C,0))&lt;&gt;0,INDEX('Stato patrimoniale'!L:L,MATCH(C11,'Stato patrimoniale'!C:C,0)),"")</f>
        <v>AMZN</v>
      </c>
      <c r="B11" t="str">
        <f>INDEX('Stato patrimoniale'!K:K,MATCH(C11,'Stato patrimoniale'!C:C,0))</f>
        <v>US0231351067</v>
      </c>
      <c r="C11" t="str">
        <v>Amazon</v>
      </c>
      <c r="D11" t="str">
        <f>INDEX('Stato patrimoniale'!J:J,MATCH(C11,'Stato patrimoniale'!C:C,0))</f>
        <v>USD</v>
      </c>
    </row>
    <row r="12" spans="1:4" x14ac:dyDescent="0.25">
      <c r="A12" t="str">
        <f>IF(INDEX('Stato patrimoniale'!L:L,MATCH(C12,'Stato patrimoniale'!C:C,0))&lt;&gt;0,INDEX('Stato patrimoniale'!L:L,MATCH(C12,'Stato patrimoniale'!C:C,0)),"")</f>
        <v>MSFT</v>
      </c>
      <c r="B12" t="str">
        <f>INDEX('Stato patrimoniale'!K:K,MATCH(C12,'Stato patrimoniale'!C:C,0))</f>
        <v>US5949181045</v>
      </c>
      <c r="C12" t="str">
        <v>Microsoft</v>
      </c>
      <c r="D12" t="str">
        <f>INDEX('Stato patrimoniale'!J:J,MATCH(C12,'Stato patrimoniale'!C:C,0))</f>
        <v>USD</v>
      </c>
    </row>
    <row r="13" spans="1:4" x14ac:dyDescent="0.25">
      <c r="A13" t="str">
        <f>IF(INDEX('Stato patrimoniale'!L:L,MATCH(C13,'Stato patrimoniale'!C:C,0))&lt;&gt;0,INDEX('Stato patrimoniale'!L:L,MATCH(C13,'Stato patrimoniale'!C:C,0)),"")</f>
        <v>SWDA.MI</v>
      </c>
      <c r="B13" t="str">
        <f>INDEX('Stato patrimoniale'!K:K,MATCH(C13,'Stato patrimoniale'!C:C,0))</f>
        <v>IE00B4L5Y983</v>
      </c>
      <c r="C13" t="str">
        <v>iShares Core MSCI World UCITS ETF USD (Acc)</v>
      </c>
      <c r="D13" t="str">
        <f>INDEX('Stato patrimoniale'!J:J,MATCH(C13,'Stato patrimoniale'!C:C,0))</f>
        <v>EUR</v>
      </c>
    </row>
    <row r="14" spans="1:4" x14ac:dyDescent="0.25">
      <c r="A14" t="str">
        <f>IF(INDEX('Stato patrimoniale'!L:L,MATCH(C14,'Stato patrimoniale'!C:C,0))&lt;&gt;0,INDEX('Stato patrimoniale'!L:L,MATCH(C14,'Stato patrimoniale'!C:C,0)),"")</f>
        <v>VFEM.MI</v>
      </c>
      <c r="B14" t="str">
        <f>INDEX('Stato patrimoniale'!K:K,MATCH(C14,'Stato patrimoniale'!C:C,0))</f>
        <v>IE00B3VVMM84</v>
      </c>
      <c r="C14" t="str">
        <v>Vanguard FTSE Emerging Markets UCITS ETF (USD) Dis</v>
      </c>
      <c r="D14" t="str">
        <f>INDEX('Stato patrimoniale'!J:J,MATCH(C14,'Stato patrimoniale'!C:C,0))</f>
        <v>EUR</v>
      </c>
    </row>
    <row r="15" spans="1:4" x14ac:dyDescent="0.25">
      <c r="A15" t="str">
        <f>IF(INDEX('Stato patrimoniale'!L:L,MATCH(C15,'Stato patrimoniale'!C:C,0))&lt;&gt;0,INDEX('Stato patrimoniale'!L:L,MATCH(C15,'Stato patrimoniale'!C:C,0)),"")</f>
        <v>INRG.MI</v>
      </c>
      <c r="B15" t="str">
        <f>INDEX('Stato patrimoniale'!K:K,MATCH(C15,'Stato patrimoniale'!C:C,0))</f>
        <v>IE00B1XNHC34</v>
      </c>
      <c r="C15" t="str">
        <v>iShares Global Clean Energy UCITS ETF USD (Dist)</v>
      </c>
      <c r="D15" t="str">
        <f>INDEX('Stato patrimoniale'!J:J,MATCH(C15,'Stato patrimoniale'!C:C,0))</f>
        <v>EUR</v>
      </c>
    </row>
    <row r="16" spans="1:4" x14ac:dyDescent="0.25">
      <c r="A16" t="str">
        <f>IF(INDEX('Stato patrimoniale'!L:L,MATCH(C16,'Stato patrimoniale'!C:C,0))&lt;&gt;0,INDEX('Stato patrimoniale'!L:L,MATCH(C16,'Stato patrimoniale'!C:C,0)),"")</f>
        <v>IUSA.MI</v>
      </c>
      <c r="B16" t="str">
        <f>INDEX('Stato patrimoniale'!K:K,MATCH(C16,'Stato patrimoniale'!C:C,0))</f>
        <v>IE0031442068</v>
      </c>
      <c r="C16" t="str">
        <v>iShares Core S&amp;P 500 UCITS ETF USD (Dist)</v>
      </c>
      <c r="D16" t="str">
        <f>INDEX('Stato patrimoniale'!J:J,MATCH(C16,'Stato patrimoniale'!C:C,0))</f>
        <v>EUR</v>
      </c>
    </row>
    <row r="17" spans="1:4" x14ac:dyDescent="0.25">
      <c r="A17" t="str">
        <f>IF(INDEX('Stato patrimoniale'!L:L,MATCH(C17,'Stato patrimoniale'!C:C,0))&lt;&gt;0,INDEX('Stato patrimoniale'!L:L,MATCH(C17,'Stato patrimoniale'!C:C,0)),"")</f>
        <v>CHIP.MI</v>
      </c>
      <c r="B17" t="str">
        <f>INDEX('Stato patrimoniale'!K:K,MATCH(C17,'Stato patrimoniale'!C:C,0))</f>
        <v>LU1900066033</v>
      </c>
      <c r="C17" t="str">
        <v>Amundi MSCI Semiconductors ESG Screened UCITS ETF Acc</v>
      </c>
      <c r="D17" t="str">
        <f>INDEX('Stato patrimoniale'!J:J,MATCH(C17,'Stato patrimoniale'!C:C,0))</f>
        <v>EUR</v>
      </c>
    </row>
    <row r="18" spans="1:4" x14ac:dyDescent="0.25">
      <c r="A18" t="str">
        <f>IF(INDEX('Stato patrimoniale'!L:L,MATCH(C18,'Stato patrimoniale'!C:C,0))&lt;&gt;0,INDEX('Stato patrimoniale'!L:L,MATCH(C18,'Stato patrimoniale'!C:C,0)),"")</f>
        <v>XAIX.MI</v>
      </c>
      <c r="B18" t="str">
        <f>INDEX('Stato patrimoniale'!K:K,MATCH(C18,'Stato patrimoniale'!C:C,0))</f>
        <v>IE00BGV5VN51</v>
      </c>
      <c r="C18" t="str">
        <v>Xtrackers Artif. Int. and Big Data UCITS ETF 1C</v>
      </c>
      <c r="D18" t="str">
        <f>INDEX('Stato patrimoniale'!J:J,MATCH(C18,'Stato patrimoniale'!C:C,0))</f>
        <v>EUR</v>
      </c>
    </row>
    <row r="19" spans="1:4" x14ac:dyDescent="0.25">
      <c r="A19" t="str">
        <f>IF(INDEX('Stato patrimoniale'!L:L,MATCH(C19,'Stato patrimoniale'!C:C,0))&lt;&gt;0,INDEX('Stato patrimoniale'!L:L,MATCH(C19,'Stato patrimoniale'!C:C,0)),"")</f>
        <v>SMEA.MI</v>
      </c>
      <c r="B19" t="str">
        <f>INDEX('Stato patrimoniale'!K:K,MATCH(C19,'Stato patrimoniale'!C:C,0))</f>
        <v>IE00B4K48X80</v>
      </c>
      <c r="C19" t="str">
        <v>iShares Core MSCI Europe UCITS ETF EUR (Acc)</v>
      </c>
      <c r="D19" t="str">
        <f>INDEX('Stato patrimoniale'!J:J,MATCH(C19,'Stato patrimoniale'!C:C,0))</f>
        <v>EUR</v>
      </c>
    </row>
    <row r="20" spans="1:4" x14ac:dyDescent="0.25">
      <c r="A20" t="str">
        <f>IF(INDEX('Stato patrimoniale'!L:L,MATCH(C20,'Stato patrimoniale'!C:C,0))&lt;&gt;0,INDEX('Stato patrimoniale'!L:L,MATCH(C20,'Stato patrimoniale'!C:C,0)),"")</f>
        <v>VWCE.MI</v>
      </c>
      <c r="B20" t="str">
        <f>INDEX('Stato patrimoniale'!K:K,MATCH(C20,'Stato patrimoniale'!C:C,0))</f>
        <v>IE00BK5BQT80</v>
      </c>
      <c r="C20" t="str">
        <v>Vanguard FTSE All-World UCITS ETF (USD) Acc</v>
      </c>
      <c r="D20" t="str">
        <f>INDEX('Stato patrimoniale'!J:J,MATCH(C20,'Stato patrimoniale'!C:C,0))</f>
        <v>EUR</v>
      </c>
    </row>
    <row r="21" spans="1:4" x14ac:dyDescent="0.25">
      <c r="A21" t="str">
        <f>IF(INDEX('Stato patrimoniale'!L:L,MATCH(C21,'Stato patrimoniale'!C:C,0))&lt;&gt;0,INDEX('Stato patrimoniale'!L:L,MATCH(C21,'Stato patrimoniale'!C:C,0)),"")</f>
        <v/>
      </c>
      <c r="B21" t="str">
        <f>INDEX('Stato patrimoniale'!K:K,MATCH(C21,'Stato patrimoniale'!C:C,0))</f>
        <v>IT0005547408</v>
      </c>
      <c r="C21" t="str">
        <v>BTP-VAL 13GN27SU CUM</v>
      </c>
      <c r="D21" t="str">
        <f>INDEX('Stato patrimoniale'!J:J,MATCH(C21,'Stato patrimoniale'!C:C,0))</f>
        <v>EUR</v>
      </c>
    </row>
    <row r="22" spans="1:4" x14ac:dyDescent="0.25">
      <c r="A22" t="str">
        <f>IF(INDEX('Stato patrimoniale'!L:L,MATCH(C22,'Stato patrimoniale'!C:C,0))&lt;&gt;0,INDEX('Stato patrimoniale'!L:L,MATCH(C22,'Stato patrimoniale'!C:C,0)),"")</f>
        <v/>
      </c>
      <c r="B22" t="str">
        <f>INDEX('Stato patrimoniale'!K:K,MATCH(C22,'Stato patrimoniale'!C:C,0))</f>
        <v>US912810EW46</v>
      </c>
      <c r="C22" t="str">
        <v>USA-15FB26 6</v>
      </c>
      <c r="D22" t="str">
        <f>INDEX('Stato patrimoniale'!J:J,MATCH(C22,'Stato patrimoniale'!C:C,0))</f>
        <v>USD</v>
      </c>
    </row>
    <row r="23" spans="1:4" x14ac:dyDescent="0.25">
      <c r="A23" t="str">
        <f>IF(INDEX('Stato patrimoniale'!L:L,MATCH(C23,'Stato patrimoniale'!C:C,0))&lt;&gt;0,INDEX('Stato patrimoniale'!L:L,MATCH(C23,'Stato patrimoniale'!C:C,0)),"")</f>
        <v/>
      </c>
      <c r="B23" t="str">
        <f>INDEX('Stato patrimoniale'!K:K,MATCH(C23,'Stato patrimoniale'!C:C,0))</f>
        <v>IT0005534141</v>
      </c>
      <c r="C23" t="str">
        <v>BTP-1OT53 4,5</v>
      </c>
      <c r="D23" t="str">
        <f>INDEX('Stato patrimoniale'!J:J,MATCH(C23,'Stato patrimoniale'!C:C,0))</f>
        <v>EUR</v>
      </c>
    </row>
    <row r="24" spans="1:4" x14ac:dyDescent="0.25">
      <c r="A24" t="str">
        <f>IF(INDEX('Stato patrimoniale'!L:L,MATCH(C24,'Stato patrimoniale'!C:C,0))&lt;&gt;0,INDEX('Stato patrimoniale'!L:L,MATCH(C24,'Stato patrimoniale'!C:C,0)),"")</f>
        <v/>
      </c>
      <c r="B24" t="str">
        <f>INDEX('Stato patrimoniale'!K:K,MATCH(C24,'Stato patrimoniale'!C:C,0))</f>
        <v>IT0005557084</v>
      </c>
      <c r="C24" t="str">
        <v>BTP-29ST25 3,60</v>
      </c>
      <c r="D24" t="str">
        <f>INDEX('Stato patrimoniale'!J:J,MATCH(C24,'Stato patrimoniale'!C:C,0))</f>
        <v>EUR</v>
      </c>
    </row>
    <row r="25" spans="1:4" x14ac:dyDescent="0.25">
      <c r="A25" t="str">
        <f>IF(INDEX('Stato patrimoniale'!L:L,MATCH(C25,'Stato patrimoniale'!C:C,0))&lt;&gt;0,INDEX('Stato patrimoniale'!L:L,MATCH(C25,'Stato patrimoniale'!C:C,0)),"")</f>
        <v/>
      </c>
      <c r="B25" t="str">
        <f>INDEX('Stato patrimoniale'!K:K,MATCH(C25,'Stato patrimoniale'!C:C,0))</f>
        <v>US912828XB14</v>
      </c>
      <c r="C25" t="str">
        <v>USA-15MG25 2,125</v>
      </c>
      <c r="D25" t="str">
        <f>INDEX('Stato patrimoniale'!J:J,MATCH(C25,'Stato patrimoniale'!C:C,0))</f>
        <v>USD</v>
      </c>
    </row>
    <row r="26" spans="1:4" x14ac:dyDescent="0.25">
      <c r="A26" t="str">
        <f>IF(INDEX('Stato patrimoniale'!L:L,MATCH(C26,'Stato patrimoniale'!C:C,0))&lt;&gt;0,INDEX('Stato patrimoniale'!L:L,MATCH(C26,'Stato patrimoniale'!C:C,0)),"")</f>
        <v/>
      </c>
      <c r="B26" t="str">
        <f>INDEX('Stato patrimoniale'!K:K,MATCH(C26,'Stato patrimoniale'!C:C,0))</f>
        <v>IT0005565400</v>
      </c>
      <c r="C26" t="str">
        <v>BTP-VAL 10OT28SU CUM</v>
      </c>
      <c r="D26" t="str">
        <f>INDEX('Stato patrimoniale'!J:J,MATCH(C26,'Stato patrimoniale'!C:C,0))</f>
        <v>EUR</v>
      </c>
    </row>
    <row r="27" spans="1:4" x14ac:dyDescent="0.25">
      <c r="A27" t="str">
        <f>IF(INDEX('Stato patrimoniale'!L:L,MATCH(C27,'Stato patrimoniale'!C:C,0))&lt;&gt;0,INDEX('Stato patrimoniale'!L:L,MATCH(C27,'Stato patrimoniale'!C:C,0)),"")</f>
        <v/>
      </c>
      <c r="B27" t="str">
        <f>INDEX('Stato patrimoniale'!K:K,MATCH(C27,'Stato patrimoniale'!C:C,0))</f>
        <v>ES00000128Q6</v>
      </c>
      <c r="C27" t="str">
        <v>SPAIN-30LG33 2,35</v>
      </c>
      <c r="D27" t="str">
        <f>INDEX('Stato patrimoniale'!J:J,MATCH(C27,'Stato patrimoniale'!C:C,0))</f>
        <v>EUR</v>
      </c>
    </row>
    <row r="28" spans="1:4" x14ac:dyDescent="0.25">
      <c r="A28" t="str">
        <f>IF(INDEX('Stato patrimoniale'!L:L,MATCH(C28,'Stato patrimoniale'!C:C,0))&lt;&gt;0,INDEX('Stato patrimoniale'!L:L,MATCH(C28,'Stato patrimoniale'!C:C,0)),"")</f>
        <v/>
      </c>
      <c r="B28" t="str">
        <f>INDEX('Stato patrimoniale'!K:K,MATCH(C28,'Stato patrimoniale'!C:C,0))</f>
        <v>IT0005583486</v>
      </c>
      <c r="C28" t="str">
        <v>BTP-VAL 5MZ30SU CUM</v>
      </c>
      <c r="D28" t="str">
        <f>INDEX('Stato patrimoniale'!J:J,MATCH(C28,'Stato patrimoniale'!C:C,0))</f>
        <v>EUR</v>
      </c>
    </row>
    <row r="29" spans="1:4" x14ac:dyDescent="0.25">
      <c r="A29" t="str">
        <f>IF(INDEX('Stato patrimoniale'!L:L,MATCH(C29,'Stato patrimoniale'!C:C,0))&lt;&gt;0,INDEX('Stato patrimoniale'!L:L,MATCH(C29,'Stato patrimoniale'!C:C,0)),"")</f>
        <v>SGLD.MI</v>
      </c>
      <c r="B29" t="str">
        <f>INDEX('Stato patrimoniale'!K:K,MATCH(C29,'Stato patrimoniale'!C:C,0))</f>
        <v>IE00B579F325</v>
      </c>
      <c r="C29" t="str">
        <v>Invesco Physical Gold ETC</v>
      </c>
      <c r="D29" t="str">
        <f>INDEX('Stato patrimoniale'!J:J,MATCH(C29,'Stato patrimoniale'!C:C,0))</f>
        <v>EUR</v>
      </c>
    </row>
    <row r="30" spans="1:4" x14ac:dyDescent="0.25">
      <c r="A30" t="str">
        <f>IF(INDEX('Stato patrimoniale'!L:L,MATCH(C30,'Stato patrimoniale'!C:C,0))&lt;&gt;0,INDEX('Stato patrimoniale'!L:L,MATCH(C30,'Stato patrimoniale'!C:C,0)),"")</f>
        <v/>
      </c>
      <c r="B30" t="str">
        <f>INDEX('Stato patrimoniale'!K:K,MATCH(C30,'Stato patrimoniale'!C:C,0))</f>
        <v>IT0005584302</v>
      </c>
      <c r="C30" t="str">
        <v>BTP-28GE26 3,2</v>
      </c>
      <c r="D30" t="str">
        <f>INDEX('Stato patrimoniale'!J:J,MATCH(C30,'Stato patrimoniale'!C:C,0))</f>
        <v>EUR</v>
      </c>
    </row>
    <row r="31" spans="1:4" x14ac:dyDescent="0.25">
      <c r="A31" t="str">
        <f>IF(INDEX('Stato patrimoniale'!L:L,MATCH(C31,'Stato patrimoniale'!C:C,0))&lt;&gt;0,INDEX('Stato patrimoniale'!L:L,MATCH(C31,'Stato patrimoniale'!C:C,0)),"")</f>
        <v>XEON.MI</v>
      </c>
      <c r="B31" t="str">
        <f>INDEX('Stato patrimoniale'!K:K,MATCH(C31,'Stato patrimoniale'!C:C,0))</f>
        <v>LU0290358497</v>
      </c>
      <c r="C31" t="str">
        <v>Xtrackers II EUR Overnight Rate Swap UCITS ETF 1C</v>
      </c>
      <c r="D31" t="str">
        <f>INDEX('Stato patrimoniale'!J:J,MATCH(C31,'Stato patrimoniale'!C:C,0))</f>
        <v>EUR</v>
      </c>
    </row>
    <row r="32" spans="1:4" x14ac:dyDescent="0.25">
      <c r="A32" t="str">
        <f>IF(INDEX('Stato patrimoniale'!L:L,MATCH(C32,'Stato patrimoniale'!C:C,0))&lt;&gt;0,INDEX('Stato patrimoniale'!L:L,MATCH(C32,'Stato patrimoniale'!C:C,0)),"")</f>
        <v>IVOA.DE</v>
      </c>
      <c r="B32" t="str">
        <f>INDEX('Stato patrimoniale'!K:K,MATCH(C32,'Stato patrimoniale'!C:C,0))</f>
        <v>IE0008UEVOE0</v>
      </c>
      <c r="C32" t="str">
        <v>iShares iBonds Dec 2028 Term EUR Corp UCITS ETF (Acc)</v>
      </c>
      <c r="D32" t="str">
        <f>INDEX('Stato patrimoniale'!J:J,MATCH(C32,'Stato patrimoniale'!C:C,0))</f>
        <v>EUR</v>
      </c>
    </row>
    <row r="33" spans="1:4" x14ac:dyDescent="0.25">
      <c r="A33" t="str">
        <f>IF(INDEX('Stato patrimoniale'!L:L,MATCH(C33,'Stato patrimoniale'!C:C,0))&lt;&gt;0,INDEX('Stato patrimoniale'!L:L,MATCH(C33,'Stato patrimoniale'!C:C,0)),"")</f>
        <v>MB28.MI</v>
      </c>
      <c r="B33" t="str">
        <f>INDEX('Stato patrimoniale'!K:K,MATCH(C33,'Stato patrimoniale'!C:C,0))</f>
        <v>LU2780871401</v>
      </c>
      <c r="C33" t="str">
        <v>Amundi IS Fix. Mat. 2028 Euro Gov Bd Br. UCITS ETF Dis</v>
      </c>
      <c r="D33" t="str">
        <f>INDEX('Stato patrimoniale'!J:J,MATCH(C33,'Stato patrimoniale'!C:C,0))</f>
        <v>EUR</v>
      </c>
    </row>
    <row r="34" spans="1:4" x14ac:dyDescent="0.25">
      <c r="A34" t="str">
        <f>IF(INDEX('Stato patrimoniale'!L:L,MATCH(C34,'Stato patrimoniale'!C:C,0))&lt;&gt;0,INDEX('Stato patrimoniale'!L:L,MATCH(C34,'Stato patrimoniale'!C:C,0)),"")</f>
        <v/>
      </c>
      <c r="B34" t="str">
        <f>INDEX('Stato patrimoniale'!K:K,MATCH(C34,'Stato patrimoniale'!C:C,0))</f>
        <v>IT0005634800</v>
      </c>
      <c r="C34" t="str">
        <v>BTP-PIU 25FB33 CUM</v>
      </c>
      <c r="D34" t="str">
        <f>INDEX('Stato patrimoniale'!J:J,MATCH(C34,'Stato patrimoniale'!C:C,0))</f>
        <v>EUR</v>
      </c>
    </row>
    <row r="35" spans="1:4" x14ac:dyDescent="0.25">
      <c r="A35" t="str">
        <f>IF(INDEX('Stato patrimoniale'!L:L,MATCH(C35,'Stato patrimoniale'!C:C,0))&lt;&gt;0,INDEX('Stato patrimoniale'!L:L,MATCH(C35,'Stato patrimoniale'!C:C,0)),"")</f>
        <v/>
      </c>
      <c r="B35" t="str">
        <f>INDEX('Stato patrimoniale'!K:K,MATCH(C35,'Stato patrimoniale'!C:C,0))</f>
        <v>FR001400AIN5</v>
      </c>
      <c r="C35" t="str">
        <v>FRANCE-25FB28 0,75</v>
      </c>
      <c r="D35" t="str">
        <f>INDEX('Stato patrimoniale'!J:J,MATCH(C35,'Stato patrimoniale'!C:C,0))</f>
        <v>EUR</v>
      </c>
    </row>
    <row r="36" spans="1:4" x14ac:dyDescent="0.25">
      <c r="A36" t="str">
        <f>IF(INDEX('Stato patrimoniale'!L:L,MATCH(C36,'Stato patrimoniale'!C:C,0))&lt;&gt;0,INDEX('Stato patrimoniale'!L:L,MATCH(C36,'Stato patrimoniale'!C:C,0)),"")</f>
        <v>29GA.MI</v>
      </c>
      <c r="B36" t="str">
        <f>INDEX('Stato patrimoniale'!K:K,MATCH(C36,'Stato patrimoniale'!C:C,0))</f>
        <v>IE000SNLFDR7</v>
      </c>
      <c r="C36" t="str">
        <v>iShares iBonds Dec 2029 Term EUR Corp UCITS ETF (Acc)</v>
      </c>
      <c r="D36" t="str">
        <f>INDEX('Stato patrimoniale'!J:J,MATCH(C36,'Stato patrimoniale'!C:C,0))</f>
        <v>EUR</v>
      </c>
    </row>
    <row r="37" spans="1:4" x14ac:dyDescent="0.25">
      <c r="A37" t="str">
        <f>IF(INDEX('Stato patrimoniale'!L:L,MATCH(C37,'Stato patrimoniale'!C:C,0))&lt;&gt;0,INDEX('Stato patrimoniale'!L:L,MATCH(C37,'Stato patrimoniale'!C:C,0)),"")</f>
        <v/>
      </c>
      <c r="B37" t="str">
        <f>INDEX('Stato patrimoniale'!K:K,MATCH(C37,'Stato patrimoniale'!C:C,0))</f>
        <v>IT0005648248</v>
      </c>
      <c r="C37" t="str">
        <v>BTP ITALIA-4GN32 CUM</v>
      </c>
      <c r="D37" t="str">
        <f>INDEX('Stato patrimoniale'!J:J,MATCH(C37,'Stato patrimoniale'!C:C,0))</f>
        <v>EUR</v>
      </c>
    </row>
    <row r="38" spans="1:4" x14ac:dyDescent="0.25">
      <c r="A38" t="str">
        <f>IF(INDEX('Stato patrimoniale'!L:L,MATCH(C38,'Stato patrimoniale'!C:C,0))&lt;&gt;0,INDEX('Stato patrimoniale'!L:L,MATCH(C38,'Stato patrimoniale'!C:C,0)),"")</f>
        <v>30IA.MI</v>
      </c>
      <c r="B38" t="str">
        <f>INDEX('Stato patrimoniale'!K:K,MATCH(C38,'Stato patrimoniale'!C:C,0))</f>
        <v>IE000Y2BJVK9</v>
      </c>
      <c r="C38" t="str">
        <v>iShares iBonds Dec 2030 Term EUR Corp UCITS ETF EUR (Acc)</v>
      </c>
      <c r="D38" t="str">
        <f>INDEX('Stato patrimoniale'!J:J,MATCH(C38,'Stato patrimoniale'!C:C,0))</f>
        <v>EUR</v>
      </c>
    </row>
    <row r="39" spans="1:4" x14ac:dyDescent="0.25">
      <c r="A39" t="str">
        <f>IF(INDEX('Stato patrimoniale'!L:L,MATCH(C39,'Stato patrimoniale'!C:C,0))&lt;&gt;0,INDEX('Stato patrimoniale'!L:L,MATCH(C39,'Stato patrimoniale'!C:C,0)),"")</f>
        <v>IG31.MI</v>
      </c>
      <c r="B39" t="str">
        <f>INDEX('Stato patrimoniale'!K:K,MATCH(C39,'Stato patrimoniale'!C:C,0))</f>
        <v>IE000D9WMGF0</v>
      </c>
      <c r="C39" t="str">
        <v>iShares iBonds Dec 2031 Term EUR Corp UCITS ETF EUR (Acc)</v>
      </c>
      <c r="D39" t="str">
        <f>INDEX('Stato patrimoniale'!J:J,MATCH(C39,'Stato patrimoniale'!C:C,0))</f>
        <v>EUR</v>
      </c>
    </row>
    <row r="40" spans="1:4" x14ac:dyDescent="0.25">
      <c r="A40" t="str">
        <f>IF(INDEX('Stato patrimoniale'!L:L,MATCH(C40,'Stato patrimoniale'!C:C,0))&lt;&gt;0,INDEX('Stato patrimoniale'!L:L,MATCH(C40,'Stato patrimoniale'!C:C,0)),"")</f>
        <v/>
      </c>
      <c r="B40" t="str">
        <f>INDEX('Stato patrimoniale'!K:K,MATCH(C40,'Stato patrimoniale'!C:C,0))</f>
        <v>IT0005672024</v>
      </c>
      <c r="C40" t="str">
        <v>BTP VAL-28OT32 CUM</v>
      </c>
      <c r="D40" t="str">
        <f>INDEX('Stato patrimoniale'!J:J,MATCH(C40,'Stato patrimoniale'!C:C,0))</f>
        <v>EUR</v>
      </c>
    </row>
    <row r="41" spans="1:4" x14ac:dyDescent="0.25">
      <c r="A41" t="str">
        <f>IF(INDEX('Stato patrimoniale'!L:L,MATCH(C41,'Stato patrimoniale'!C:C,0))&lt;&gt;0,INDEX('Stato patrimoniale'!L:L,MATCH(C41,'Stato patrimoniale'!C:C,0)),"")</f>
        <v>X13E.MI</v>
      </c>
      <c r="B41" t="str">
        <f>INDEX('Stato patrimoniale'!K:K,MATCH(C41,'Stato patrimoniale'!C:C,0))</f>
        <v>LU0290356871</v>
      </c>
      <c r="C41" t="str">
        <v>Xtrackers II Eurozone Gov. Bond 1-3 UCITS ETF 1C</v>
      </c>
      <c r="D41" t="str">
        <f>INDEX('Stato patrimoniale'!J:J,MATCH(C41,'Stato patrimoniale'!C:C,0))</f>
        <v>EUR</v>
      </c>
    </row>
    <row r="42" spans="1:4" x14ac:dyDescent="0.25">
      <c r="A42" t="str">
        <f>IF(INDEX('Stato patrimoniale'!L:L,MATCH(C42,'Stato patrimoniale'!C:C,0))&lt;&gt;0,INDEX('Stato patrimoniale'!L:L,MATCH(C42,'Stato patrimoniale'!C:C,0)),"")</f>
        <v>EM35.MI</v>
      </c>
      <c r="B42" t="str">
        <f>INDEX('Stato patrimoniale'!K:K,MATCH(C42,'Stato patrimoniale'!C:C,0))</f>
        <v>LU1650488494</v>
      </c>
      <c r="C42" t="str">
        <v>Amundi Euro Government Bond 3-5Y UCITS ETF Acc</v>
      </c>
      <c r="D42" t="str">
        <f>INDEX('Stato patrimoniale'!J:J,MATCH(C42,'Stato patrimoniale'!C:C,0))</f>
        <v>EUR</v>
      </c>
    </row>
    <row r="43" spans="1:4" x14ac:dyDescent="0.25">
      <c r="A43" t="str">
        <f>IF(INDEX('Stato patrimoniale'!L:L,MATCH(C43,'Stato patrimoniale'!C:C,0))&lt;&gt;0,INDEX('Stato patrimoniale'!L:L,MATCH(C43,'Stato patrimoniale'!C:C,0)),"")</f>
        <v>EXUS.MI</v>
      </c>
      <c r="B43" t="str">
        <f>INDEX('Stato patrimoniale'!K:K,MATCH(C43,'Stato patrimoniale'!C:C,0))</f>
        <v>IE0006WW1TQ4</v>
      </c>
      <c r="C43" t="str">
        <v>Xtrackers MSCI World ex USA UCITS ETF 1C</v>
      </c>
      <c r="D43" t="str">
        <f>INDEX('Stato patrimoniale'!J:J,MATCH(C43,'Stato patrimoniale'!C:C,0))</f>
        <v>EUR</v>
      </c>
    </row>
    <row r="44" spans="1:4" x14ac:dyDescent="0.25">
      <c r="A44" t="str">
        <f>IF(INDEX('Stato patrimoniale'!L:L,MATCH(C44,'Stato patrimoniale'!C:C,0))&lt;&gt;0,INDEX('Stato patrimoniale'!L:L,MATCH(C44,'Stato patrimoniale'!C:C,0)),"")</f>
        <v>CSEMU.MI</v>
      </c>
      <c r="B44" t="str">
        <f>INDEX('Stato patrimoniale'!K:K,MATCH(C44,'Stato patrimoniale'!C:C,0))</f>
        <v>IE00B53QG562</v>
      </c>
      <c r="C44" t="str">
        <v>iShares Core MSCI EMU UCITS ETF EUR (Acc)</v>
      </c>
      <c r="D44" t="str">
        <f>INDEX('Stato patrimoniale'!J:J,MATCH(C44,'Stato patrimoniale'!C:C,0))</f>
        <v>EUR</v>
      </c>
    </row>
    <row r="45" spans="1:4" x14ac:dyDescent="0.25">
      <c r="A45" t="str">
        <f>IF(INDEX('Stato patrimoniale'!L:L,MATCH(C45,'Stato patrimoniale'!C:C,0))&lt;&gt;0,INDEX('Stato patrimoniale'!L:L,MATCH(C45,'Stato patrimoniale'!C:C,0)),"")</f>
        <v/>
      </c>
      <c r="B45" t="str">
        <f>INDEX('Stato patrimoniale'!K:K,MATCH(C45,'Stato patrimoniale'!C:C,0))</f>
        <v>IT0005696320</v>
      </c>
      <c r="C45" t="str">
        <v>BTP-10MZ32 VAL CUM</v>
      </c>
      <c r="D45" t="str">
        <f>INDEX('Stato patrimoniale'!J:J,MATCH(C45,'Stato patrimoniale'!C:C,0))</f>
        <v>EUR</v>
      </c>
    </row>
    <row r="46" spans="1:4" x14ac:dyDescent="0.25">
      <c r="C4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48DF-2BA6-4C29-B329-24F9ED707AAB}">
  <dimension ref="A1:N92"/>
  <sheetViews>
    <sheetView showZeros="0" workbookViewId="0">
      <selection activeCell="F12" sqref="F12:F17"/>
    </sheetView>
  </sheetViews>
  <sheetFormatPr defaultRowHeight="15" x14ac:dyDescent="0.25"/>
  <cols>
    <col min="1" max="1" width="13.42578125" bestFit="1" customWidth="1"/>
    <col min="2" max="2" width="14.85546875" bestFit="1" customWidth="1"/>
    <col min="3" max="3" width="53.5703125" bestFit="1" customWidth="1"/>
    <col min="4" max="4" width="53.5703125" customWidth="1"/>
    <col min="5" max="5" width="8.85546875" bestFit="1" customWidth="1"/>
    <col min="6" max="6" width="6.7109375" bestFit="1" customWidth="1"/>
    <col min="7" max="7" width="6.7109375" customWidth="1"/>
    <col min="8" max="9" width="13.42578125" bestFit="1" customWidth="1"/>
    <col min="10" max="10" width="13.42578125" customWidth="1"/>
    <col min="11" max="11" width="13.140625" style="91" bestFit="1" customWidth="1"/>
    <col min="12" max="12" width="13.140625" style="91" customWidth="1"/>
    <col min="13" max="13" width="17.28515625" bestFit="1" customWidth="1"/>
    <col min="14" max="14" width="12.7109375" bestFit="1" customWidth="1"/>
  </cols>
  <sheetData>
    <row r="1" spans="1:14" x14ac:dyDescent="0.25">
      <c r="A1" t="s">
        <v>565</v>
      </c>
      <c r="B1" t="s">
        <v>17</v>
      </c>
      <c r="C1" t="s">
        <v>566</v>
      </c>
      <c r="D1" t="s">
        <v>577</v>
      </c>
      <c r="E1" t="s">
        <v>579</v>
      </c>
      <c r="F1" t="s">
        <v>574</v>
      </c>
      <c r="G1" t="s">
        <v>572</v>
      </c>
      <c r="H1" t="s">
        <v>578</v>
      </c>
      <c r="I1" t="s">
        <v>575</v>
      </c>
      <c r="J1" t="s">
        <v>576</v>
      </c>
      <c r="K1" s="91" t="s">
        <v>571</v>
      </c>
      <c r="L1" s="91" t="s">
        <v>570</v>
      </c>
      <c r="M1" t="s">
        <v>568</v>
      </c>
      <c r="N1" t="s">
        <v>569</v>
      </c>
    </row>
    <row r="2" spans="1:14" x14ac:dyDescent="0.25">
      <c r="A2" t="str">
        <f>'Stato patrimoniale'!L2</f>
        <v>CNHI.VI</v>
      </c>
      <c r="B2" t="str">
        <f>'Stato patrimoniale'!K2</f>
        <v>NL0010545661</v>
      </c>
      <c r="C2" t="str">
        <f>'Stato patrimoniale'!C2</f>
        <v>CNH Industrial</v>
      </c>
      <c r="D2" t="str">
        <f>'Stato patrimoniale'!D2</f>
        <v>A</v>
      </c>
      <c r="E2" t="str">
        <f>'Stato patrimoniale'!J2</f>
        <v>EUR</v>
      </c>
      <c r="F2">
        <f>'Stato patrimoniale'!I2</f>
        <v>18</v>
      </c>
      <c r="G2">
        <f>'Stato patrimoniale'!W2</f>
        <v>249.53399999999999</v>
      </c>
      <c r="H2">
        <f>'Stato patrimoniale'!U2</f>
        <v>1</v>
      </c>
      <c r="I2">
        <f>'Stato patrimoniale'!V2</f>
        <v>0</v>
      </c>
      <c r="K2" s="91">
        <f>'Stato patrimoniale'!O2</f>
        <v>45133</v>
      </c>
      <c r="L2" s="91" t="s">
        <v>573</v>
      </c>
      <c r="M2" s="70" t="str">
        <f>'Stato patrimoniale'!Q2</f>
        <v>Fineco-C</v>
      </c>
      <c r="N2" s="70" t="str">
        <f>M2</f>
        <v>Fineco-C</v>
      </c>
    </row>
    <row r="3" spans="1:14" x14ac:dyDescent="0.25">
      <c r="A3" t="str">
        <f>'Stato patrimoniale'!L3</f>
        <v>UCG.MI</v>
      </c>
      <c r="B3" t="str">
        <f>'Stato patrimoniale'!K3</f>
        <v>IT0005239360</v>
      </c>
      <c r="C3" t="str">
        <f>'Stato patrimoniale'!C3</f>
        <v>Unicredit</v>
      </c>
      <c r="D3" t="str">
        <f>'Stato patrimoniale'!D3</f>
        <v>A</v>
      </c>
      <c r="E3" t="str">
        <f>'Stato patrimoniale'!J3</f>
        <v>EUR</v>
      </c>
      <c r="F3">
        <f>'Stato patrimoniale'!I3</f>
        <v>11</v>
      </c>
      <c r="G3">
        <f>'Stato patrimoniale'!W3</f>
        <v>246.59799999999998</v>
      </c>
      <c r="H3">
        <f>'Stato patrimoniale'!U3</f>
        <v>1</v>
      </c>
      <c r="I3">
        <f>'Stato patrimoniale'!V3</f>
        <v>0</v>
      </c>
      <c r="K3" s="91">
        <f>'Stato patrimoniale'!O3</f>
        <v>45132</v>
      </c>
      <c r="L3" s="91" t="s">
        <v>573</v>
      </c>
      <c r="M3" s="70" t="str">
        <f>'Stato patrimoniale'!Q3</f>
        <v>Fineco-C</v>
      </c>
      <c r="N3" s="70" t="str">
        <f t="shared" ref="N3:N64" si="0">M3</f>
        <v>Fineco-C</v>
      </c>
    </row>
    <row r="4" spans="1:14" x14ac:dyDescent="0.25">
      <c r="A4" t="str">
        <f>'Stato patrimoniale'!L4</f>
        <v>PST.MI</v>
      </c>
      <c r="B4" t="str">
        <f>'Stato patrimoniale'!K4</f>
        <v>IT0003796171</v>
      </c>
      <c r="C4" t="str">
        <f>'Stato patrimoniale'!C4</f>
        <v>Poste Italiane</v>
      </c>
      <c r="D4" t="str">
        <f>'Stato patrimoniale'!D4</f>
        <v>A</v>
      </c>
      <c r="E4" t="str">
        <f>'Stato patrimoniale'!J4</f>
        <v>EUR</v>
      </c>
      <c r="F4">
        <f>'Stato patrimoniale'!I4</f>
        <v>25</v>
      </c>
      <c r="G4">
        <f>'Stato patrimoniale'!W4</f>
        <v>256.95</v>
      </c>
      <c r="H4">
        <f>'Stato patrimoniale'!U4</f>
        <v>1</v>
      </c>
      <c r="I4">
        <f>'Stato patrimoniale'!V4</f>
        <v>0</v>
      </c>
      <c r="K4" s="91">
        <f>'Stato patrimoniale'!O4</f>
        <v>45133</v>
      </c>
      <c r="L4" s="91" t="s">
        <v>573</v>
      </c>
      <c r="M4" s="70" t="str">
        <f>'Stato patrimoniale'!Q4</f>
        <v>Fineco-C</v>
      </c>
      <c r="N4" s="70" t="str">
        <f t="shared" si="0"/>
        <v>Fineco-C</v>
      </c>
    </row>
    <row r="5" spans="1:14" x14ac:dyDescent="0.25">
      <c r="A5" t="str">
        <f>'Stato patrimoniale'!L5</f>
        <v>STMMI.MI</v>
      </c>
      <c r="B5" t="str">
        <f>'Stato patrimoniale'!K5</f>
        <v>NL0000226223</v>
      </c>
      <c r="C5" t="str">
        <f>'Stato patrimoniale'!C5</f>
        <v>STMicroElectronics</v>
      </c>
      <c r="D5" t="str">
        <f>'Stato patrimoniale'!D5</f>
        <v>A</v>
      </c>
      <c r="E5" t="str">
        <f>'Stato patrimoniale'!J5</f>
        <v>EUR</v>
      </c>
      <c r="F5">
        <f>'Stato patrimoniale'!I5</f>
        <v>5</v>
      </c>
      <c r="G5">
        <f>'Stato patrimoniale'!W5</f>
        <v>230.45000000000002</v>
      </c>
      <c r="H5">
        <f>'Stato patrimoniale'!U5</f>
        <v>1</v>
      </c>
      <c r="I5">
        <f>'Stato patrimoniale'!V5</f>
        <v>0</v>
      </c>
      <c r="K5" s="91">
        <f>'Stato patrimoniale'!O5</f>
        <v>45132</v>
      </c>
      <c r="L5" s="91" t="s">
        <v>573</v>
      </c>
      <c r="M5" s="70" t="str">
        <f>'Stato patrimoniale'!Q5</f>
        <v>Fineco-C</v>
      </c>
      <c r="N5" s="70" t="str">
        <f t="shared" si="0"/>
        <v>Fineco-C</v>
      </c>
    </row>
    <row r="6" spans="1:14" x14ac:dyDescent="0.25">
      <c r="A6" t="str">
        <f>'Stato patrimoniale'!L6</f>
        <v>ISP.MI</v>
      </c>
      <c r="B6" t="str">
        <f>'Stato patrimoniale'!K6</f>
        <v>IT0000072618</v>
      </c>
      <c r="C6" t="str">
        <f>'Stato patrimoniale'!C6</f>
        <v>Intesa San Paolo</v>
      </c>
      <c r="D6" t="str">
        <f>'Stato patrimoniale'!D6</f>
        <v>A</v>
      </c>
      <c r="E6" t="str">
        <f>'Stato patrimoniale'!J6</f>
        <v>EUR</v>
      </c>
      <c r="F6">
        <f>'Stato patrimoniale'!I6</f>
        <v>100</v>
      </c>
      <c r="G6">
        <f>'Stato patrimoniale'!W6</f>
        <v>255.45</v>
      </c>
      <c r="H6">
        <f>'Stato patrimoniale'!U6</f>
        <v>1</v>
      </c>
      <c r="I6">
        <f>'Stato patrimoniale'!V6</f>
        <v>0</v>
      </c>
      <c r="K6" s="91">
        <f>'Stato patrimoniale'!O6</f>
        <v>45132</v>
      </c>
      <c r="L6" s="91" t="s">
        <v>573</v>
      </c>
      <c r="M6" s="70" t="str">
        <f>'Stato patrimoniale'!Q6</f>
        <v>Fineco-C</v>
      </c>
      <c r="N6" s="70" t="str">
        <f t="shared" si="0"/>
        <v>Fineco-C</v>
      </c>
    </row>
    <row r="7" spans="1:14" x14ac:dyDescent="0.25">
      <c r="A7" t="str">
        <f>'Stato patrimoniale'!L7</f>
        <v>LDO.MI</v>
      </c>
      <c r="B7" t="str">
        <f>'Stato patrimoniale'!K7</f>
        <v>IT0003856405</v>
      </c>
      <c r="C7" t="str">
        <f>'Stato patrimoniale'!C7</f>
        <v>Leonardo</v>
      </c>
      <c r="D7" t="str">
        <f>'Stato patrimoniale'!D7</f>
        <v>A</v>
      </c>
      <c r="E7" t="str">
        <f>'Stato patrimoniale'!J7</f>
        <v>EUR</v>
      </c>
      <c r="F7">
        <f>'Stato patrimoniale'!I7</f>
        <v>21</v>
      </c>
      <c r="G7">
        <f>'Stato patrimoniale'!W7</f>
        <v>244.44</v>
      </c>
      <c r="H7">
        <f>'Stato patrimoniale'!U7</f>
        <v>1</v>
      </c>
      <c r="I7">
        <f>'Stato patrimoniale'!V7</f>
        <v>0</v>
      </c>
      <c r="K7" s="91">
        <f>'Stato patrimoniale'!O7</f>
        <v>45133</v>
      </c>
      <c r="L7" s="91" t="s">
        <v>573</v>
      </c>
      <c r="M7" s="70" t="str">
        <f>'Stato patrimoniale'!Q7</f>
        <v>Fineco-C</v>
      </c>
      <c r="N7" s="70" t="str">
        <f t="shared" si="0"/>
        <v>Fineco-C</v>
      </c>
    </row>
    <row r="8" spans="1:14" x14ac:dyDescent="0.25">
      <c r="A8" t="str">
        <f>'Stato patrimoniale'!L8</f>
        <v>ENEL.MI</v>
      </c>
      <c r="B8" t="str">
        <f>'Stato patrimoniale'!K8</f>
        <v>IT0003128367</v>
      </c>
      <c r="C8" t="str">
        <f>'Stato patrimoniale'!C8</f>
        <v>Enel</v>
      </c>
      <c r="D8" t="str">
        <f>'Stato patrimoniale'!D8</f>
        <v>A</v>
      </c>
      <c r="E8" t="str">
        <f>'Stato patrimoniale'!J8</f>
        <v>EUR</v>
      </c>
      <c r="F8">
        <f>'Stato patrimoniale'!I8</f>
        <v>40</v>
      </c>
      <c r="G8">
        <f>'Stato patrimoniale'!W8</f>
        <v>252.51999999999998</v>
      </c>
      <c r="H8">
        <f>'Stato patrimoniale'!U8</f>
        <v>1</v>
      </c>
      <c r="I8">
        <f>'Stato patrimoniale'!V8</f>
        <v>0</v>
      </c>
      <c r="K8" s="91">
        <f>'Stato patrimoniale'!O8</f>
        <v>45133</v>
      </c>
      <c r="L8" s="91" t="s">
        <v>573</v>
      </c>
      <c r="M8" s="70" t="str">
        <f>'Stato patrimoniale'!Q8</f>
        <v>Fineco-C</v>
      </c>
      <c r="N8" s="70" t="str">
        <f t="shared" si="0"/>
        <v>Fineco-C</v>
      </c>
    </row>
    <row r="9" spans="1:14" x14ac:dyDescent="0.25">
      <c r="A9" t="str">
        <f>'Stato patrimoniale'!L9</f>
        <v>ENI.MI</v>
      </c>
      <c r="B9" t="str">
        <f>'Stato patrimoniale'!K9</f>
        <v>IT0003132476</v>
      </c>
      <c r="C9" t="str">
        <f>'Stato patrimoniale'!C9</f>
        <v>Eni</v>
      </c>
      <c r="D9" t="str">
        <f>'Stato patrimoniale'!D9</f>
        <v>A</v>
      </c>
      <c r="E9" t="str">
        <f>'Stato patrimoniale'!J9</f>
        <v>EUR</v>
      </c>
      <c r="F9">
        <f>'Stato patrimoniale'!I9</f>
        <v>19</v>
      </c>
      <c r="G9">
        <f>'Stato patrimoniale'!W9</f>
        <v>264.99299999999999</v>
      </c>
      <c r="H9">
        <f>'Stato patrimoniale'!U9</f>
        <v>1</v>
      </c>
      <c r="I9">
        <f>'Stato patrimoniale'!V9</f>
        <v>0</v>
      </c>
      <c r="K9" s="91">
        <f>'Stato patrimoniale'!O9</f>
        <v>45132</v>
      </c>
      <c r="L9" s="91" t="s">
        <v>573</v>
      </c>
      <c r="M9" s="70" t="str">
        <f>'Stato patrimoniale'!Q9</f>
        <v>Fineco-C</v>
      </c>
      <c r="N9" s="70" t="str">
        <f t="shared" si="0"/>
        <v>Fineco-C</v>
      </c>
    </row>
    <row r="10" spans="1:14" x14ac:dyDescent="0.25">
      <c r="A10" t="str">
        <f>'Stato patrimoniale'!L10</f>
        <v>AAPL</v>
      </c>
      <c r="B10" t="str">
        <f>'Stato patrimoniale'!K10</f>
        <v>US0378331005</v>
      </c>
      <c r="C10" t="str">
        <f>'Stato patrimoniale'!C10</f>
        <v>Apple</v>
      </c>
      <c r="D10" t="str">
        <f>'Stato patrimoniale'!D10</f>
        <v>A</v>
      </c>
      <c r="E10" t="str">
        <f>'Stato patrimoniale'!J10</f>
        <v>USD</v>
      </c>
      <c r="F10">
        <f>'Stato patrimoniale'!I10</f>
        <v>2</v>
      </c>
      <c r="G10">
        <f>'Stato patrimoniale'!W10</f>
        <v>282.06147967999993</v>
      </c>
      <c r="H10">
        <f>'Stato patrimoniale'!U10</f>
        <v>0.86399999999999999</v>
      </c>
      <c r="I10">
        <f>'Stato patrimoniale'!V10</f>
        <v>12.95</v>
      </c>
      <c r="K10" s="91">
        <f>'Stato patrimoniale'!O10</f>
        <v>44498</v>
      </c>
      <c r="L10" s="91" t="s">
        <v>573</v>
      </c>
      <c r="M10" s="70" t="str">
        <f>'Stato patrimoniale'!Q10</f>
        <v>Fineco-C</v>
      </c>
      <c r="N10" s="70" t="str">
        <f t="shared" si="0"/>
        <v>Fineco-C</v>
      </c>
    </row>
    <row r="11" spans="1:14" x14ac:dyDescent="0.25">
      <c r="A11" t="str">
        <f>'Stato patrimoniale'!L11</f>
        <v>AMZN</v>
      </c>
      <c r="B11" t="str">
        <f>'Stato patrimoniale'!K11</f>
        <v>US0231351067</v>
      </c>
      <c r="C11" t="str">
        <f>'Stato patrimoniale'!C11</f>
        <v>Amazon</v>
      </c>
      <c r="D11" t="str">
        <f>'Stato patrimoniale'!D11</f>
        <v>A</v>
      </c>
      <c r="E11" t="str">
        <f>'Stato patrimoniale'!J11</f>
        <v>USD</v>
      </c>
      <c r="F11">
        <f>'Stato patrimoniale'!I11</f>
        <v>2</v>
      </c>
      <c r="G11">
        <f>'Stato patrimoniale'!W11</f>
        <v>217.78285624697997</v>
      </c>
      <c r="H11">
        <f>'Stato patrimoniale'!U11</f>
        <v>0.90890000000000004</v>
      </c>
      <c r="I11">
        <f>'Stato patrimoniale'!V11</f>
        <v>12.95</v>
      </c>
      <c r="K11" s="91">
        <f>'Stato patrimoniale'!O11</f>
        <v>45044</v>
      </c>
      <c r="L11" s="91" t="s">
        <v>573</v>
      </c>
      <c r="M11" s="70" t="str">
        <f>'Stato patrimoniale'!Q11</f>
        <v>Fineco-C</v>
      </c>
      <c r="N11" s="70" t="str">
        <f t="shared" si="0"/>
        <v>Fineco-C</v>
      </c>
    </row>
    <row r="12" spans="1:14" x14ac:dyDescent="0.25">
      <c r="A12" t="str">
        <f>'Stato patrimoniale'!L12</f>
        <v>MSFT</v>
      </c>
      <c r="B12" t="str">
        <f>'Stato patrimoniale'!K12</f>
        <v>US5949181045</v>
      </c>
      <c r="C12" t="str">
        <f>'Stato patrimoniale'!C12</f>
        <v>Microsoft</v>
      </c>
      <c r="D12" t="str">
        <f>'Stato patrimoniale'!D12</f>
        <v>A</v>
      </c>
      <c r="E12" t="str">
        <f>'Stato patrimoniale'!J12</f>
        <v>USD</v>
      </c>
      <c r="F12">
        <f>'Stato patrimoniale'!I12</f>
        <v>10</v>
      </c>
      <c r="G12">
        <f>'Stato patrimoniale'!W12</f>
        <v>1731.8000000000002</v>
      </c>
      <c r="H12">
        <f>'Stato patrimoniale'!U12</f>
        <v>1</v>
      </c>
      <c r="I12">
        <f>'Stato patrimoniale'!V12</f>
        <v>0</v>
      </c>
      <c r="K12" s="91">
        <f>'Stato patrimoniale'!O12</f>
        <v>42006</v>
      </c>
      <c r="L12" s="91" t="s">
        <v>573</v>
      </c>
      <c r="M12" s="70" t="str">
        <f>'Stato patrimoniale'!Q12</f>
        <v>Fineco-C</v>
      </c>
      <c r="N12" s="70" t="str">
        <f t="shared" si="0"/>
        <v>Fineco-C</v>
      </c>
    </row>
    <row r="13" spans="1:14" x14ac:dyDescent="0.25">
      <c r="A13" t="str">
        <f>'Stato patrimoniale'!L13</f>
        <v>MSFT</v>
      </c>
      <c r="B13" t="str">
        <f>'Stato patrimoniale'!K13</f>
        <v>US5949181045</v>
      </c>
      <c r="C13" t="str">
        <f>'Stato patrimoniale'!C13</f>
        <v>Microsoft</v>
      </c>
      <c r="D13" t="str">
        <f>'Stato patrimoniale'!D13</f>
        <v>A</v>
      </c>
      <c r="E13" t="str">
        <f>'Stato patrimoniale'!J13</f>
        <v>USD</v>
      </c>
      <c r="F13">
        <f>'Stato patrimoniale'!I13</f>
        <v>17</v>
      </c>
      <c r="G13">
        <f>'Stato patrimoniale'!W13</f>
        <v>2944.06</v>
      </c>
      <c r="H13">
        <f>'Stato patrimoniale'!U13</f>
        <v>1</v>
      </c>
      <c r="I13">
        <f>'Stato patrimoniale'!V13</f>
        <v>0</v>
      </c>
      <c r="K13" s="91">
        <f>'Stato patrimoniale'!O13</f>
        <v>45279</v>
      </c>
      <c r="L13" s="91" t="s">
        <v>573</v>
      </c>
      <c r="M13" s="70" t="str">
        <f>'Stato patrimoniale'!Q13</f>
        <v>Fineco-C</v>
      </c>
      <c r="N13" s="70" t="str">
        <f t="shared" si="0"/>
        <v>Fineco-C</v>
      </c>
    </row>
    <row r="14" spans="1:14" x14ac:dyDescent="0.25">
      <c r="A14" t="str">
        <f>'Stato patrimoniale'!L14</f>
        <v>MSFT</v>
      </c>
      <c r="B14" t="str">
        <f>'Stato patrimoniale'!K14</f>
        <v>US5949181045</v>
      </c>
      <c r="C14" t="str">
        <f>'Stato patrimoniale'!C14</f>
        <v>Microsoft</v>
      </c>
      <c r="D14" t="str">
        <f>'Stato patrimoniale'!D14</f>
        <v>A</v>
      </c>
      <c r="E14" t="str">
        <f>'Stato patrimoniale'!J14</f>
        <v>USD</v>
      </c>
      <c r="F14">
        <f>'Stato patrimoniale'!I14</f>
        <v>10</v>
      </c>
      <c r="G14">
        <f>'Stato patrimoniale'!W14</f>
        <v>1731.8000000000002</v>
      </c>
      <c r="H14">
        <f>'Stato patrimoniale'!U14</f>
        <v>1</v>
      </c>
      <c r="I14">
        <f>'Stato patrimoniale'!V14</f>
        <v>0</v>
      </c>
      <c r="K14" s="91">
        <f>'Stato patrimoniale'!O14</f>
        <v>42006</v>
      </c>
      <c r="L14" s="91" t="s">
        <v>573</v>
      </c>
      <c r="M14" s="70" t="str">
        <f>'Stato patrimoniale'!Q14</f>
        <v>Fineco-C</v>
      </c>
      <c r="N14" s="70" t="str">
        <f t="shared" si="0"/>
        <v>Fineco-C</v>
      </c>
    </row>
    <row r="15" spans="1:14" x14ac:dyDescent="0.25">
      <c r="A15" t="str">
        <f>'Stato patrimoniale'!L15</f>
        <v>MSFT</v>
      </c>
      <c r="B15" t="str">
        <f>'Stato patrimoniale'!K15</f>
        <v>US5949181045</v>
      </c>
      <c r="C15" t="str">
        <f>'Stato patrimoniale'!C15</f>
        <v>Microsoft</v>
      </c>
      <c r="D15" t="str">
        <f>'Stato patrimoniale'!D15</f>
        <v>A</v>
      </c>
      <c r="E15" t="str">
        <f>'Stato patrimoniale'!J15</f>
        <v>USD</v>
      </c>
      <c r="F15">
        <f>'Stato patrimoniale'!I15</f>
        <v>49</v>
      </c>
      <c r="G15">
        <f>'Stato patrimoniale'!W15</f>
        <v>8485.82</v>
      </c>
      <c r="H15">
        <f>'Stato patrimoniale'!U15</f>
        <v>1</v>
      </c>
      <c r="I15">
        <f>'Stato patrimoniale'!V15</f>
        <v>0</v>
      </c>
      <c r="K15" s="91">
        <f>'Stato patrimoniale'!O15</f>
        <v>42006</v>
      </c>
      <c r="L15" s="91" t="s">
        <v>573</v>
      </c>
      <c r="M15" s="70" t="str">
        <f>'Stato patrimoniale'!Q15</f>
        <v>Fineco-C</v>
      </c>
      <c r="N15" s="70" t="str">
        <f t="shared" si="0"/>
        <v>Fineco-C</v>
      </c>
    </row>
    <row r="16" spans="1:14" x14ac:dyDescent="0.25">
      <c r="A16" t="str">
        <f>'Stato patrimoniale'!L16</f>
        <v>MSFT</v>
      </c>
      <c r="B16" t="str">
        <f>'Stato patrimoniale'!K16</f>
        <v>US5949181045</v>
      </c>
      <c r="C16" t="str">
        <f>'Stato patrimoniale'!C16</f>
        <v>Microsoft</v>
      </c>
      <c r="D16" t="str">
        <f>'Stato patrimoniale'!D16</f>
        <v>A</v>
      </c>
      <c r="E16" t="str">
        <f>'Stato patrimoniale'!J16</f>
        <v>USD</v>
      </c>
      <c r="F16">
        <f>'Stato patrimoniale'!I16</f>
        <v>17</v>
      </c>
      <c r="G16">
        <f>'Stato patrimoniale'!W16</f>
        <v>6785.0740000000005</v>
      </c>
      <c r="H16">
        <f>'Stato patrimoniale'!U16</f>
        <v>1</v>
      </c>
      <c r="I16">
        <f>'Stato patrimoniale'!V16</f>
        <v>0</v>
      </c>
      <c r="K16" s="91">
        <f>'Stato patrimoniale'!O16</f>
        <v>42359</v>
      </c>
      <c r="L16" s="91" t="s">
        <v>573</v>
      </c>
      <c r="M16" s="70" t="str">
        <f>'Stato patrimoniale'!Q16</f>
        <v>Fineco</v>
      </c>
      <c r="N16" s="70" t="str">
        <f t="shared" ref="N16" si="1">M16</f>
        <v>Fineco</v>
      </c>
    </row>
    <row r="17" spans="1:14" x14ac:dyDescent="0.25">
      <c r="A17" t="str">
        <f>'Stato patrimoniale'!L17</f>
        <v>MSFT</v>
      </c>
      <c r="B17" t="str">
        <f>'Stato patrimoniale'!K17</f>
        <v>US5949181045</v>
      </c>
      <c r="C17" t="str">
        <f>'Stato patrimoniale'!C17</f>
        <v>Microsoft</v>
      </c>
      <c r="D17" t="str">
        <f>'Stato patrimoniale'!D17</f>
        <v>A</v>
      </c>
      <c r="E17" t="str">
        <f>'Stato patrimoniale'!J17</f>
        <v>USD</v>
      </c>
      <c r="F17">
        <f>'Stato patrimoniale'!I17</f>
        <v>17</v>
      </c>
      <c r="G17">
        <f>'Stato patrimoniale'!W17</f>
        <v>6785.0740000000005</v>
      </c>
      <c r="H17">
        <f>'Stato patrimoniale'!U17</f>
        <v>1</v>
      </c>
      <c r="I17">
        <f>'Stato patrimoniale'!V17</f>
        <v>0</v>
      </c>
      <c r="K17" s="91">
        <f>'Stato patrimoniale'!O17</f>
        <v>45667</v>
      </c>
      <c r="L17" s="91" t="s">
        <v>573</v>
      </c>
      <c r="M17" s="70" t="str">
        <f>'Stato patrimoniale'!Q17</f>
        <v>Fineco</v>
      </c>
      <c r="N17" s="70" t="str">
        <f t="shared" si="0"/>
        <v>Fineco</v>
      </c>
    </row>
    <row r="18" spans="1:14" x14ac:dyDescent="0.25">
      <c r="A18" t="str">
        <f>'Stato patrimoniale'!L18</f>
        <v>SWDA.MI</v>
      </c>
      <c r="B18" t="str">
        <f>'Stato patrimoniale'!K18</f>
        <v>IE00B4L5Y983</v>
      </c>
      <c r="C18" t="str">
        <f>'Stato patrimoniale'!C18</f>
        <v>iShares Core MSCI World UCITS ETF USD (Acc)</v>
      </c>
      <c r="D18" t="str">
        <f>'Stato patrimoniale'!D18</f>
        <v>ETF</v>
      </c>
      <c r="E18" t="str">
        <f>'Stato patrimoniale'!J18</f>
        <v>EUR</v>
      </c>
      <c r="F18">
        <f>'Stato patrimoniale'!I18</f>
        <v>10</v>
      </c>
      <c r="G18">
        <f>'Stato patrimoniale'!W18</f>
        <v>768.8</v>
      </c>
      <c r="H18">
        <f>'Stato patrimoniale'!U18</f>
        <v>1</v>
      </c>
      <c r="I18">
        <f>'Stato patrimoniale'!V18</f>
        <v>0</v>
      </c>
      <c r="K18" s="91">
        <f>'Stato patrimoniale'!O18</f>
        <v>45096</v>
      </c>
      <c r="L18" s="91" t="s">
        <v>573</v>
      </c>
      <c r="M18" s="70" t="str">
        <f>'Stato patrimoniale'!Q18</f>
        <v>Fineco-C</v>
      </c>
      <c r="N18" s="70" t="str">
        <f t="shared" si="0"/>
        <v>Fineco-C</v>
      </c>
    </row>
    <row r="19" spans="1:14" x14ac:dyDescent="0.25">
      <c r="A19" t="str">
        <f>'Stato patrimoniale'!L19</f>
        <v>SWDA.MI</v>
      </c>
      <c r="B19" t="str">
        <f>'Stato patrimoniale'!K19</f>
        <v>IE00B4L5Y983</v>
      </c>
      <c r="C19" t="str">
        <f>'Stato patrimoniale'!C19</f>
        <v>iShares Core MSCI World UCITS ETF USD (Acc)</v>
      </c>
      <c r="D19" t="str">
        <f>'Stato patrimoniale'!D19</f>
        <v>ETF</v>
      </c>
      <c r="E19" t="str">
        <f>'Stato patrimoniale'!J19</f>
        <v>EUR</v>
      </c>
      <c r="F19">
        <f>'Stato patrimoniale'!I19</f>
        <v>3</v>
      </c>
      <c r="G19">
        <f>'Stato patrimoniale'!W19</f>
        <v>232.14</v>
      </c>
      <c r="H19">
        <f>'Stato patrimoniale'!U19</f>
        <v>1</v>
      </c>
      <c r="I19">
        <f>'Stato patrimoniale'!V19</f>
        <v>0</v>
      </c>
      <c r="K19" s="91">
        <f>'Stato patrimoniale'!O19</f>
        <v>45131</v>
      </c>
      <c r="L19" s="91" t="s">
        <v>573</v>
      </c>
      <c r="M19" s="70" t="str">
        <f>'Stato patrimoniale'!Q19</f>
        <v>Fineco-C</v>
      </c>
      <c r="N19" s="70" t="str">
        <f t="shared" si="0"/>
        <v>Fineco-C</v>
      </c>
    </row>
    <row r="20" spans="1:14" x14ac:dyDescent="0.25">
      <c r="A20" t="str">
        <f>'Stato patrimoniale'!L20</f>
        <v>VFEM.MI</v>
      </c>
      <c r="B20" t="str">
        <f>'Stato patrimoniale'!K20</f>
        <v>IE00B3VVMM84</v>
      </c>
      <c r="C20" t="str">
        <f>'Stato patrimoniale'!C20</f>
        <v>Vanguard FTSE Emerging Markets UCITS ETF (USD) Dis</v>
      </c>
      <c r="D20" t="str">
        <f>'Stato patrimoniale'!D20</f>
        <v>ETF</v>
      </c>
      <c r="E20" t="str">
        <f>'Stato patrimoniale'!J20</f>
        <v>EUR</v>
      </c>
      <c r="F20">
        <f>'Stato patrimoniale'!I20</f>
        <v>10</v>
      </c>
      <c r="G20">
        <f>'Stato patrimoniale'!W20</f>
        <v>516.05000000000007</v>
      </c>
      <c r="H20">
        <f>'Stato patrimoniale'!U20</f>
        <v>1</v>
      </c>
      <c r="I20">
        <f>'Stato patrimoniale'!V20</f>
        <v>2.95</v>
      </c>
      <c r="K20" s="91">
        <f>'Stato patrimoniale'!O20</f>
        <v>45096</v>
      </c>
      <c r="L20" s="91" t="s">
        <v>573</v>
      </c>
      <c r="M20" s="70" t="str">
        <f>'Stato patrimoniale'!Q20</f>
        <v>Fineco-C</v>
      </c>
      <c r="N20" s="70" t="str">
        <f t="shared" si="0"/>
        <v>Fineco-C</v>
      </c>
    </row>
    <row r="21" spans="1:14" x14ac:dyDescent="0.25">
      <c r="A21" t="str">
        <f>'Stato patrimoniale'!L21</f>
        <v>INRG.MI</v>
      </c>
      <c r="B21" t="str">
        <f>'Stato patrimoniale'!K21</f>
        <v>IE00B1XNHC34</v>
      </c>
      <c r="C21" t="str">
        <f>'Stato patrimoniale'!C21</f>
        <v>iShares Global Clean Energy UCITS ETF USD (Dist)</v>
      </c>
      <c r="D21" t="str">
        <f>'Stato patrimoniale'!D21</f>
        <v>ETF</v>
      </c>
      <c r="E21" t="str">
        <f>'Stato patrimoniale'!J21</f>
        <v>EUR</v>
      </c>
      <c r="F21">
        <f>'Stato patrimoniale'!I21</f>
        <v>50</v>
      </c>
      <c r="G21">
        <f>'Stato patrimoniale'!W21</f>
        <v>484.7</v>
      </c>
      <c r="H21">
        <f>'Stato patrimoniale'!U21</f>
        <v>1</v>
      </c>
      <c r="I21">
        <f>'Stato patrimoniale'!V21</f>
        <v>2.95</v>
      </c>
      <c r="K21" s="91">
        <f>'Stato patrimoniale'!O21</f>
        <v>45112</v>
      </c>
      <c r="L21" s="91" t="s">
        <v>573</v>
      </c>
      <c r="M21" s="70" t="str">
        <f>'Stato patrimoniale'!Q21</f>
        <v>Fineco-C</v>
      </c>
      <c r="N21" s="70" t="str">
        <f t="shared" si="0"/>
        <v>Fineco-C</v>
      </c>
    </row>
    <row r="22" spans="1:14" x14ac:dyDescent="0.25">
      <c r="A22" t="str">
        <f>'Stato patrimoniale'!L22</f>
        <v>IUSA.MI</v>
      </c>
      <c r="B22" t="str">
        <f>'Stato patrimoniale'!K22</f>
        <v>IE0031442068</v>
      </c>
      <c r="C22" t="str">
        <f>'Stato patrimoniale'!C22</f>
        <v>iShares Core S&amp;P 500 UCITS ETF USD (Dist)</v>
      </c>
      <c r="D22" t="str">
        <f>'Stato patrimoniale'!D22</f>
        <v>ETF</v>
      </c>
      <c r="E22" t="str">
        <f>'Stato patrimoniale'!J22</f>
        <v>EUR</v>
      </c>
      <c r="F22">
        <f>'Stato patrimoniale'!I22</f>
        <v>10</v>
      </c>
      <c r="G22">
        <f>'Stato patrimoniale'!W22</f>
        <v>409.25</v>
      </c>
      <c r="H22">
        <f>'Stato patrimoniale'!U22</f>
        <v>1</v>
      </c>
      <c r="I22">
        <f>'Stato patrimoniale'!V22</f>
        <v>2.95</v>
      </c>
      <c r="K22" s="91">
        <f>'Stato patrimoniale'!O22</f>
        <v>45112</v>
      </c>
      <c r="L22" s="91" t="s">
        <v>573</v>
      </c>
      <c r="M22" s="70" t="str">
        <f>'Stato patrimoniale'!Q22</f>
        <v>Fineco-C</v>
      </c>
      <c r="N22" s="70" t="str">
        <f t="shared" si="0"/>
        <v>Fineco-C</v>
      </c>
    </row>
    <row r="23" spans="1:14" x14ac:dyDescent="0.25">
      <c r="A23" t="str">
        <f>'Stato patrimoniale'!L23</f>
        <v>IUSA.MI</v>
      </c>
      <c r="B23" t="str">
        <f>'Stato patrimoniale'!K23</f>
        <v>IE0031442068</v>
      </c>
      <c r="C23" t="str">
        <f>'Stato patrimoniale'!C23</f>
        <v>iShares Core S&amp;P 500 UCITS ETF USD (Dist)</v>
      </c>
      <c r="D23" t="str">
        <f>'Stato patrimoniale'!D23</f>
        <v>ETF</v>
      </c>
      <c r="E23" t="str">
        <f>'Stato patrimoniale'!J23</f>
        <v>EUR</v>
      </c>
      <c r="F23">
        <f>'Stato patrimoniale'!I23</f>
        <v>15</v>
      </c>
      <c r="G23">
        <f>'Stato patrimoniale'!W23</f>
        <v>613.45000000000005</v>
      </c>
      <c r="H23">
        <f>'Stato patrimoniale'!U23</f>
        <v>1</v>
      </c>
      <c r="I23">
        <f>'Stato patrimoniale'!V23</f>
        <v>2.95</v>
      </c>
      <c r="K23" s="91">
        <f>'Stato patrimoniale'!O23</f>
        <v>45128</v>
      </c>
      <c r="L23" s="91" t="s">
        <v>573</v>
      </c>
      <c r="M23" s="70" t="str">
        <f>'Stato patrimoniale'!Q23</f>
        <v>Fineco-C</v>
      </c>
      <c r="N23" s="70" t="str">
        <f t="shared" si="0"/>
        <v>Fineco-C</v>
      </c>
    </row>
    <row r="24" spans="1:14" x14ac:dyDescent="0.25">
      <c r="A24" t="str">
        <f>'Stato patrimoniale'!L24</f>
        <v>CHIP.MI</v>
      </c>
      <c r="B24" t="str">
        <f>'Stato patrimoniale'!K24</f>
        <v>LU1900066033</v>
      </c>
      <c r="C24" t="str">
        <f>'Stato patrimoniale'!C24</f>
        <v>Amundi MSCI Semiconductors ESG Screened UCITS ETF Acc</v>
      </c>
      <c r="D24" t="str">
        <f>'Stato patrimoniale'!D24</f>
        <v>ETF</v>
      </c>
      <c r="E24" t="str">
        <f>'Stato patrimoniale'!J24</f>
        <v>EUR</v>
      </c>
      <c r="F24">
        <f>'Stato patrimoniale'!I24</f>
        <v>20</v>
      </c>
      <c r="G24">
        <f>'Stato patrimoniale'!W24</f>
        <v>568.20000000000005</v>
      </c>
      <c r="H24">
        <f>'Stato patrimoniale'!U24</f>
        <v>1</v>
      </c>
      <c r="I24">
        <f>'Stato patrimoniale'!V24</f>
        <v>0</v>
      </c>
      <c r="K24" s="91">
        <f>'Stato patrimoniale'!O24</f>
        <v>45124</v>
      </c>
      <c r="L24" s="91" t="s">
        <v>573</v>
      </c>
      <c r="M24" s="70" t="str">
        <f>'Stato patrimoniale'!Q24</f>
        <v>Fineco-C</v>
      </c>
      <c r="N24" s="70" t="str">
        <f t="shared" si="0"/>
        <v>Fineco-C</v>
      </c>
    </row>
    <row r="25" spans="1:14" x14ac:dyDescent="0.25">
      <c r="A25" t="str">
        <f>'Stato patrimoniale'!L25</f>
        <v>XAIX.MI</v>
      </c>
      <c r="B25" t="str">
        <f>'Stato patrimoniale'!K25</f>
        <v>IE00BGV5VN51</v>
      </c>
      <c r="C25" t="str">
        <f>'Stato patrimoniale'!C25</f>
        <v>Xtrackers Artif. Int. and Big Data UCITS ETF 1C</v>
      </c>
      <c r="D25" t="str">
        <f>'Stato patrimoniale'!D25</f>
        <v>ETF</v>
      </c>
      <c r="E25" t="str">
        <f>'Stato patrimoniale'!J25</f>
        <v>EUR</v>
      </c>
      <c r="F25">
        <f>'Stato patrimoniale'!I25</f>
        <v>6</v>
      </c>
      <c r="G25">
        <f>'Stato patrimoniale'!W25</f>
        <v>524.95000000000005</v>
      </c>
      <c r="H25">
        <f>'Stato patrimoniale'!U25</f>
        <v>1</v>
      </c>
      <c r="I25">
        <f>'Stato patrimoniale'!V25</f>
        <v>2.95</v>
      </c>
      <c r="K25" s="91">
        <f>'Stato patrimoniale'!O25</f>
        <v>45128</v>
      </c>
      <c r="L25" s="91" t="s">
        <v>573</v>
      </c>
      <c r="M25" s="70" t="str">
        <f>'Stato patrimoniale'!Q25</f>
        <v>Fineco-C</v>
      </c>
      <c r="N25" s="70" t="str">
        <f t="shared" si="0"/>
        <v>Fineco-C</v>
      </c>
    </row>
    <row r="26" spans="1:14" x14ac:dyDescent="0.25">
      <c r="A26" t="str">
        <f>'Stato patrimoniale'!L26</f>
        <v>SMEA.MI</v>
      </c>
      <c r="B26" t="str">
        <f>'Stato patrimoniale'!K26</f>
        <v>IE00B4K48X80</v>
      </c>
      <c r="C26" t="str">
        <f>'Stato patrimoniale'!C26</f>
        <v>iShares Core MSCI Europe UCITS ETF EUR (Acc)</v>
      </c>
      <c r="D26" t="str">
        <f>'Stato patrimoniale'!D26</f>
        <v>ETF</v>
      </c>
      <c r="E26" t="str">
        <f>'Stato patrimoniale'!J26</f>
        <v>EUR</v>
      </c>
      <c r="F26">
        <f>'Stato patrimoniale'!I26</f>
        <v>14</v>
      </c>
      <c r="G26">
        <f>'Stato patrimoniale'!W26</f>
        <v>972.45</v>
      </c>
      <c r="H26">
        <f>'Stato patrimoniale'!U26</f>
        <v>1</v>
      </c>
      <c r="I26">
        <f>'Stato patrimoniale'!V26</f>
        <v>2.95</v>
      </c>
      <c r="K26" s="91">
        <f>'Stato patrimoniale'!O26</f>
        <v>45128</v>
      </c>
      <c r="L26" s="91" t="s">
        <v>573</v>
      </c>
      <c r="M26" s="70" t="str">
        <f>'Stato patrimoniale'!Q26</f>
        <v>Fineco-C</v>
      </c>
      <c r="N26" s="70" t="str">
        <f t="shared" si="0"/>
        <v>Fineco-C</v>
      </c>
    </row>
    <row r="27" spans="1:14" x14ac:dyDescent="0.25">
      <c r="A27" t="str">
        <f>'Stato patrimoniale'!L27</f>
        <v>VWCE.MI</v>
      </c>
      <c r="B27" t="str">
        <f>'Stato patrimoniale'!K27</f>
        <v>IE00BK5BQT80</v>
      </c>
      <c r="C27" t="str">
        <f>'Stato patrimoniale'!C27</f>
        <v>Vanguard FTSE All-World UCITS ETF (USD) Acc</v>
      </c>
      <c r="D27" t="str">
        <f>'Stato patrimoniale'!D27</f>
        <v>ETF</v>
      </c>
      <c r="E27" t="str">
        <f>'Stato patrimoniale'!J27</f>
        <v>EUR</v>
      </c>
      <c r="F27">
        <f>'Stato patrimoniale'!I27</f>
        <v>10</v>
      </c>
      <c r="G27">
        <f>'Stato patrimoniale'!W27</f>
        <v>1007.95</v>
      </c>
      <c r="H27">
        <f>'Stato patrimoniale'!U27</f>
        <v>1</v>
      </c>
      <c r="I27">
        <f>'Stato patrimoniale'!V27</f>
        <v>2.95</v>
      </c>
      <c r="K27" s="91">
        <f>'Stato patrimoniale'!O27</f>
        <v>45161</v>
      </c>
      <c r="L27" s="91" t="s">
        <v>573</v>
      </c>
      <c r="M27" s="70" t="str">
        <f>'Stato patrimoniale'!Q27</f>
        <v>Fineco-C</v>
      </c>
      <c r="N27" s="70" t="str">
        <f t="shared" si="0"/>
        <v>Fineco-C</v>
      </c>
    </row>
    <row r="28" spans="1:14" x14ac:dyDescent="0.25">
      <c r="A28" t="str">
        <f>'Stato patrimoniale'!L28</f>
        <v>VWCE.MI</v>
      </c>
      <c r="B28" t="str">
        <f>'Stato patrimoniale'!K28</f>
        <v>IE00BK5BQT80</v>
      </c>
      <c r="C28" t="str">
        <f>'Stato patrimoniale'!C28</f>
        <v>Vanguard FTSE All-World UCITS ETF (USD) Acc</v>
      </c>
      <c r="D28" t="str">
        <f>'Stato patrimoniale'!D28</f>
        <v>ETF</v>
      </c>
      <c r="E28" t="str">
        <f>'Stato patrimoniale'!J28</f>
        <v>EUR</v>
      </c>
      <c r="F28">
        <f>'Stato patrimoniale'!I28</f>
        <v>60</v>
      </c>
      <c r="G28">
        <f>'Stato patrimoniale'!W28</f>
        <v>6092.4982</v>
      </c>
      <c r="H28">
        <f>'Stato patrimoniale'!U28</f>
        <v>1</v>
      </c>
      <c r="I28">
        <f>'Stato patrimoniale'!V28</f>
        <v>2.95</v>
      </c>
      <c r="K28" s="91">
        <f>'Stato patrimoniale'!O28</f>
        <v>45162</v>
      </c>
      <c r="L28" s="91" t="s">
        <v>573</v>
      </c>
      <c r="M28" s="70" t="str">
        <f>'Stato patrimoniale'!Q28</f>
        <v>Fineco-C</v>
      </c>
      <c r="N28" s="70" t="str">
        <f t="shared" si="0"/>
        <v>Fineco-C</v>
      </c>
    </row>
    <row r="29" spans="1:14" x14ac:dyDescent="0.25">
      <c r="A29" t="str">
        <f>'Stato patrimoniale'!L29</f>
        <v>VWCE.MI</v>
      </c>
      <c r="B29" t="str">
        <f>'Stato patrimoniale'!K29</f>
        <v>IE00BK5BQT80</v>
      </c>
      <c r="C29" t="str">
        <f>'Stato patrimoniale'!C29</f>
        <v>Vanguard FTSE All-World UCITS ETF (USD) Acc</v>
      </c>
      <c r="D29" t="str">
        <f>'Stato patrimoniale'!D29</f>
        <v>ETF</v>
      </c>
      <c r="E29" t="str">
        <f>'Stato patrimoniale'!J29</f>
        <v>EUR</v>
      </c>
      <c r="F29">
        <f>'Stato patrimoniale'!I29</f>
        <v>30</v>
      </c>
      <c r="G29">
        <f>'Stato patrimoniale'!W29</f>
        <v>3023.6785</v>
      </c>
      <c r="H29">
        <f>'Stato patrimoniale'!U29</f>
        <v>1</v>
      </c>
      <c r="I29">
        <f>'Stato patrimoniale'!V29</f>
        <v>2.95</v>
      </c>
      <c r="K29" s="91">
        <f>'Stato patrimoniale'!O29</f>
        <v>45163</v>
      </c>
      <c r="L29" s="91" t="s">
        <v>573</v>
      </c>
      <c r="M29" s="70" t="str">
        <f>'Stato patrimoniale'!Q29</f>
        <v>Fineco-C</v>
      </c>
      <c r="N29" s="70" t="str">
        <f t="shared" si="0"/>
        <v>Fineco-C</v>
      </c>
    </row>
    <row r="30" spans="1:14" x14ac:dyDescent="0.25">
      <c r="A30" t="str">
        <f>'Stato patrimoniale'!L30</f>
        <v>VWCE.MI</v>
      </c>
      <c r="B30" t="str">
        <f>'Stato patrimoniale'!K30</f>
        <v>IE00BK5BQT80</v>
      </c>
      <c r="C30" t="str">
        <f>'Stato patrimoniale'!C30</f>
        <v>Vanguard FTSE All-World UCITS ETF (USD) Acc</v>
      </c>
      <c r="D30" t="str">
        <f>'Stato patrimoniale'!D30</f>
        <v>ETF</v>
      </c>
      <c r="E30" t="str">
        <f>'Stato patrimoniale'!J30</f>
        <v>EUR</v>
      </c>
      <c r="F30">
        <f>'Stato patrimoniale'!I30</f>
        <v>20</v>
      </c>
      <c r="G30">
        <f>'Stato patrimoniale'!W30</f>
        <v>2161.8000000000002</v>
      </c>
      <c r="H30">
        <f>'Stato patrimoniale'!U30</f>
        <v>1</v>
      </c>
      <c r="I30">
        <f>'Stato patrimoniale'!V30</f>
        <v>19</v>
      </c>
      <c r="K30" s="91">
        <f>'Stato patrimoniale'!O30</f>
        <v>45302</v>
      </c>
      <c r="L30" s="91" t="s">
        <v>573</v>
      </c>
      <c r="M30" s="70" t="str">
        <f>'Stato patrimoniale'!Q30</f>
        <v>Fineco</v>
      </c>
      <c r="N30" s="70" t="str">
        <f t="shared" si="0"/>
        <v>Fineco</v>
      </c>
    </row>
    <row r="31" spans="1:14" x14ac:dyDescent="0.25">
      <c r="A31">
        <f>'Stato patrimoniale'!L31</f>
        <v>0</v>
      </c>
      <c r="B31" t="str">
        <f>'Stato patrimoniale'!K31</f>
        <v>IT0005547408</v>
      </c>
      <c r="C31" t="str">
        <f>'Stato patrimoniale'!C31</f>
        <v>BTP-VAL 13GN27SU CUM</v>
      </c>
      <c r="D31" t="str">
        <f>'Stato patrimoniale'!D31</f>
        <v>O</v>
      </c>
      <c r="E31" t="str">
        <f>'Stato patrimoniale'!J31</f>
        <v>EUR</v>
      </c>
      <c r="F31">
        <f>'Stato patrimoniale'!I31</f>
        <v>10000</v>
      </c>
      <c r="G31">
        <f>'Stato patrimoniale'!W31</f>
        <v>10000</v>
      </c>
      <c r="H31">
        <f>'Stato patrimoniale'!U31</f>
        <v>1</v>
      </c>
      <c r="I31">
        <f>'Stato patrimoniale'!V31</f>
        <v>0</v>
      </c>
      <c r="K31" s="91">
        <f>'Stato patrimoniale'!O31</f>
        <v>45083</v>
      </c>
      <c r="L31" s="91" t="s">
        <v>573</v>
      </c>
      <c r="M31" s="70" t="str">
        <f>'Stato patrimoniale'!Q31</f>
        <v>Fineco-C</v>
      </c>
      <c r="N31" s="70" t="str">
        <f t="shared" si="0"/>
        <v>Fineco-C</v>
      </c>
    </row>
    <row r="32" spans="1:14" x14ac:dyDescent="0.25">
      <c r="A32">
        <f>'Stato patrimoniale'!L32</f>
        <v>0</v>
      </c>
      <c r="B32" t="str">
        <f>'Stato patrimoniale'!K32</f>
        <v>US912810EW46</v>
      </c>
      <c r="C32" t="str">
        <f>'Stato patrimoniale'!C32</f>
        <v>USA-15FB26 6</v>
      </c>
      <c r="D32" t="str">
        <f>'Stato patrimoniale'!D32</f>
        <v>O</v>
      </c>
      <c r="E32" t="str">
        <f>'Stato patrimoniale'!J32</f>
        <v>USD</v>
      </c>
      <c r="F32">
        <f>'Stato patrimoniale'!I32</f>
        <v>5000</v>
      </c>
      <c r="G32">
        <f>'Stato patrimoniale'!W32</f>
        <v>4767.214840749999</v>
      </c>
      <c r="H32">
        <f>'Stato patrimoniale'!U32</f>
        <v>0.90169999999999995</v>
      </c>
      <c r="I32">
        <f>'Stato patrimoniale'!V32</f>
        <v>82.57</v>
      </c>
      <c r="K32" s="91">
        <f>'Stato patrimoniale'!O32</f>
        <v>45128</v>
      </c>
      <c r="L32" s="91" t="s">
        <v>573</v>
      </c>
      <c r="M32" s="70" t="str">
        <f>'Stato patrimoniale'!Q32</f>
        <v>Fineco-C</v>
      </c>
      <c r="N32" s="70" t="str">
        <f t="shared" si="0"/>
        <v>Fineco-C</v>
      </c>
    </row>
    <row r="33" spans="1:14" x14ac:dyDescent="0.25">
      <c r="A33">
        <f>'Stato patrimoniale'!L33</f>
        <v>0</v>
      </c>
      <c r="B33" t="str">
        <f>'Stato patrimoniale'!K33</f>
        <v>IT0005534141</v>
      </c>
      <c r="C33" t="str">
        <f>'Stato patrimoniale'!C33</f>
        <v>BTP-1OT53 4,5</v>
      </c>
      <c r="D33" t="str">
        <f>'Stato patrimoniale'!D33</f>
        <v>O</v>
      </c>
      <c r="E33" t="str">
        <f>'Stato patrimoniale'!J33</f>
        <v>EUR</v>
      </c>
      <c r="F33">
        <f>'Stato patrimoniale'!I33</f>
        <v>5000</v>
      </c>
      <c r="G33">
        <f>'Stato patrimoniale'!W33</f>
        <v>5104.8836499999998</v>
      </c>
      <c r="H33">
        <f>'Stato patrimoniale'!U33</f>
        <v>1</v>
      </c>
      <c r="I33">
        <f>'Stato patrimoniale'!V33</f>
        <v>61.82</v>
      </c>
      <c r="K33" s="91">
        <f>'Stato patrimoniale'!O33</f>
        <v>45128</v>
      </c>
      <c r="L33" s="91" t="s">
        <v>573</v>
      </c>
      <c r="M33" s="70" t="str">
        <f>'Stato patrimoniale'!Q33</f>
        <v>Fineco-C</v>
      </c>
      <c r="N33" s="70" t="str">
        <f t="shared" si="0"/>
        <v>Fineco-C</v>
      </c>
    </row>
    <row r="34" spans="1:14" x14ac:dyDescent="0.25">
      <c r="A34">
        <f>'Stato patrimoniale'!L34</f>
        <v>0</v>
      </c>
      <c r="B34" t="str">
        <f>'Stato patrimoniale'!K34</f>
        <v>IT0005557084</v>
      </c>
      <c r="C34" t="str">
        <f>'Stato patrimoniale'!C34</f>
        <v>BTP-29ST25 3,60</v>
      </c>
      <c r="D34" t="str">
        <f>'Stato patrimoniale'!D34</f>
        <v>O</v>
      </c>
      <c r="E34" t="str">
        <f>'Stato patrimoniale'!J34</f>
        <v>EUR</v>
      </c>
      <c r="F34">
        <f>'Stato patrimoniale'!I34</f>
        <v>5000</v>
      </c>
      <c r="G34">
        <f>'Stato patrimoniale'!W34</f>
        <v>5021.3890500000007</v>
      </c>
      <c r="H34">
        <f>'Stato patrimoniale'!U34</f>
        <v>1</v>
      </c>
      <c r="I34">
        <f>'Stato patrimoniale'!V34</f>
        <v>12.39</v>
      </c>
      <c r="K34" s="91">
        <f>'Stato patrimoniale'!O34</f>
        <v>45161</v>
      </c>
      <c r="L34" s="91" t="s">
        <v>573</v>
      </c>
      <c r="M34" s="70" t="str">
        <f>'Stato patrimoniale'!Q34</f>
        <v>Fineco-C</v>
      </c>
      <c r="N34" s="70" t="str">
        <f t="shared" si="0"/>
        <v>Fineco-C</v>
      </c>
    </row>
    <row r="35" spans="1:14" x14ac:dyDescent="0.25">
      <c r="A35">
        <f>'Stato patrimoniale'!L35</f>
        <v>0</v>
      </c>
      <c r="B35" t="str">
        <f>'Stato patrimoniale'!K35</f>
        <v>US912828XB14</v>
      </c>
      <c r="C35" t="str">
        <f>'Stato patrimoniale'!C35</f>
        <v>USA-15MG25 2,125</v>
      </c>
      <c r="D35" t="str">
        <f>'Stato patrimoniale'!D35</f>
        <v>O</v>
      </c>
      <c r="E35" t="str">
        <f>'Stato patrimoniale'!J35</f>
        <v>USD</v>
      </c>
      <c r="F35">
        <f>'Stato patrimoniale'!I35</f>
        <v>5000</v>
      </c>
      <c r="G35">
        <f>'Stato patrimoniale'!W35</f>
        <v>4444.5674319999998</v>
      </c>
      <c r="H35">
        <f>'Stato patrimoniale'!U35</f>
        <v>0.91839999999999999</v>
      </c>
      <c r="I35">
        <f>'Stato patrimoniale'!V35</f>
        <v>52.51</v>
      </c>
      <c r="K35" s="91">
        <f>'Stato patrimoniale'!O35</f>
        <v>45161</v>
      </c>
      <c r="L35" s="91" t="s">
        <v>573</v>
      </c>
      <c r="M35" s="70" t="str">
        <f>'Stato patrimoniale'!Q35</f>
        <v>Fineco-C</v>
      </c>
      <c r="N35" s="70" t="str">
        <f t="shared" si="0"/>
        <v>Fineco-C</v>
      </c>
    </row>
    <row r="36" spans="1:14" x14ac:dyDescent="0.25">
      <c r="A36">
        <f>'Stato patrimoniale'!L36</f>
        <v>0</v>
      </c>
      <c r="B36" t="str">
        <f>'Stato patrimoniale'!K36</f>
        <v>IT0005565400</v>
      </c>
      <c r="C36" t="str">
        <f>'Stato patrimoniale'!C36</f>
        <v>BTP-VAL 10OT28SU CUM</v>
      </c>
      <c r="D36" t="str">
        <f>'Stato patrimoniale'!D36</f>
        <v>O</v>
      </c>
      <c r="E36" t="str">
        <f>'Stato patrimoniale'!J36</f>
        <v>EUR</v>
      </c>
      <c r="F36">
        <f>'Stato patrimoniale'!I36</f>
        <v>5000</v>
      </c>
      <c r="G36">
        <f>'Stato patrimoniale'!W36</f>
        <v>5000</v>
      </c>
      <c r="H36">
        <f>'Stato patrimoniale'!U36</f>
        <v>1</v>
      </c>
      <c r="I36">
        <f>'Stato patrimoniale'!V36</f>
        <v>0</v>
      </c>
      <c r="K36" s="91">
        <f>'Stato patrimoniale'!O36</f>
        <v>45201</v>
      </c>
      <c r="L36" s="91" t="s">
        <v>573</v>
      </c>
      <c r="M36" s="70" t="str">
        <f>'Stato patrimoniale'!Q36</f>
        <v>Fineco</v>
      </c>
      <c r="N36" s="70" t="str">
        <f t="shared" si="0"/>
        <v>Fineco</v>
      </c>
    </row>
    <row r="37" spans="1:14" x14ac:dyDescent="0.25">
      <c r="A37">
        <f>'Stato patrimoniale'!L37</f>
        <v>0</v>
      </c>
      <c r="B37" t="str">
        <f>'Stato patrimoniale'!K37</f>
        <v>ES00000128Q6</v>
      </c>
      <c r="C37" t="str">
        <f>'Stato patrimoniale'!C37</f>
        <v>SPAIN-30LG33 2,35</v>
      </c>
      <c r="D37" t="str">
        <f>'Stato patrimoniale'!D37</f>
        <v>O</v>
      </c>
      <c r="E37" t="str">
        <f>'Stato patrimoniale'!J37</f>
        <v>EUR</v>
      </c>
      <c r="F37">
        <f>'Stato patrimoniale'!I37</f>
        <v>2000</v>
      </c>
      <c r="G37">
        <f>'Stato patrimoniale'!W37</f>
        <v>1899.8000000000002</v>
      </c>
      <c r="H37">
        <f>'Stato patrimoniale'!U37</f>
        <v>1</v>
      </c>
      <c r="I37">
        <f>'Stato patrimoniale'!V37</f>
        <v>19</v>
      </c>
      <c r="K37" s="91">
        <f>'Stato patrimoniale'!O37</f>
        <v>45302</v>
      </c>
      <c r="L37" s="91" t="s">
        <v>573</v>
      </c>
      <c r="M37" s="70" t="str">
        <f>'Stato patrimoniale'!Q37</f>
        <v>Fineco</v>
      </c>
      <c r="N37" s="70" t="str">
        <f t="shared" si="0"/>
        <v>Fineco</v>
      </c>
    </row>
    <row r="38" spans="1:14" x14ac:dyDescent="0.25">
      <c r="A38">
        <f>'Stato patrimoniale'!L38</f>
        <v>0</v>
      </c>
      <c r="B38" t="str">
        <f>'Stato patrimoniale'!K38</f>
        <v>IT0005583486</v>
      </c>
      <c r="C38" t="str">
        <f>'Stato patrimoniale'!C38</f>
        <v>BTP-VAL 5MZ30SU CUM</v>
      </c>
      <c r="D38" t="str">
        <f>'Stato patrimoniale'!D38</f>
        <v>O</v>
      </c>
      <c r="E38" t="str">
        <f>'Stato patrimoniale'!J38</f>
        <v>EUR</v>
      </c>
      <c r="F38">
        <f>'Stato patrimoniale'!I38</f>
        <v>2000</v>
      </c>
      <c r="G38">
        <f>'Stato patrimoniale'!W38</f>
        <v>2000</v>
      </c>
      <c r="H38">
        <f>'Stato patrimoniale'!U38</f>
        <v>1</v>
      </c>
      <c r="I38">
        <f>'Stato patrimoniale'!V38</f>
        <v>0</v>
      </c>
      <c r="K38" s="91">
        <f>'Stato patrimoniale'!O38</f>
        <v>45350</v>
      </c>
      <c r="L38" s="91" t="s">
        <v>573</v>
      </c>
      <c r="M38" s="70" t="str">
        <f>'Stato patrimoniale'!Q38</f>
        <v>Fineco</v>
      </c>
      <c r="N38" s="70" t="str">
        <f t="shared" si="0"/>
        <v>Fineco</v>
      </c>
    </row>
    <row r="39" spans="1:14" x14ac:dyDescent="0.25">
      <c r="A39" t="str">
        <f>'Stato patrimoniale'!L39</f>
        <v>VWCE.MI</v>
      </c>
      <c r="B39" t="str">
        <f>'Stato patrimoniale'!K39</f>
        <v>IE00BK5BQT80</v>
      </c>
      <c r="C39" t="str">
        <f>'Stato patrimoniale'!C39</f>
        <v>Vanguard FTSE All-World UCITS ETF (USD) Acc</v>
      </c>
      <c r="D39" t="str">
        <f>'Stato patrimoniale'!D39</f>
        <v>ETF</v>
      </c>
      <c r="E39" t="str">
        <f>'Stato patrimoniale'!J39</f>
        <v>EUR</v>
      </c>
      <c r="F39">
        <f>'Stato patrimoniale'!I39</f>
        <v>9</v>
      </c>
      <c r="G39">
        <f>'Stato patrimoniale'!W39</f>
        <v>1073.356</v>
      </c>
      <c r="H39">
        <f>'Stato patrimoniale'!U39</f>
        <v>1</v>
      </c>
      <c r="I39">
        <f>'Stato patrimoniale'!V39</f>
        <v>2.95</v>
      </c>
      <c r="K39" s="91">
        <f>'Stato patrimoniale'!O39</f>
        <v>45427</v>
      </c>
      <c r="L39" s="91" t="s">
        <v>573</v>
      </c>
      <c r="M39" s="70" t="str">
        <f>'Stato patrimoniale'!Q39</f>
        <v>Fineco</v>
      </c>
      <c r="N39" s="70" t="str">
        <f t="shared" si="0"/>
        <v>Fineco</v>
      </c>
    </row>
    <row r="40" spans="1:14" x14ac:dyDescent="0.25">
      <c r="A40" t="str">
        <f>'Stato patrimoniale'!L40</f>
        <v>SGLD.MI</v>
      </c>
      <c r="B40" t="str">
        <f>'Stato patrimoniale'!K40</f>
        <v>IE00B579F325</v>
      </c>
      <c r="C40" t="str">
        <f>'Stato patrimoniale'!C40</f>
        <v>Invesco Physical Gold ETC</v>
      </c>
      <c r="D40" t="str">
        <f>'Stato patrimoniale'!D40</f>
        <v>ETF</v>
      </c>
      <c r="E40" t="str">
        <f>'Stato patrimoniale'!J40</f>
        <v>EUR</v>
      </c>
      <c r="F40">
        <f>'Stato patrimoniale'!I40</f>
        <v>10</v>
      </c>
      <c r="G40">
        <f>'Stato patrimoniale'!W40</f>
        <v>2103</v>
      </c>
      <c r="H40">
        <f>'Stato patrimoniale'!U40</f>
        <v>1</v>
      </c>
      <c r="I40">
        <f>'Stato patrimoniale'!V40</f>
        <v>19</v>
      </c>
      <c r="K40" s="91">
        <f>'Stato patrimoniale'!O40</f>
        <v>45439</v>
      </c>
      <c r="L40" s="91" t="s">
        <v>573</v>
      </c>
      <c r="M40" s="70" t="str">
        <f>'Stato patrimoniale'!Q40</f>
        <v>Fineco</v>
      </c>
      <c r="N40" s="70" t="str">
        <f t="shared" si="0"/>
        <v>Fineco</v>
      </c>
    </row>
    <row r="41" spans="1:14" x14ac:dyDescent="0.25">
      <c r="A41" t="str">
        <f>'Stato patrimoniale'!L41</f>
        <v>VWCE.MI</v>
      </c>
      <c r="B41" t="str">
        <f>'Stato patrimoniale'!K41</f>
        <v>IE00BK5BQT80</v>
      </c>
      <c r="C41" t="str">
        <f>'Stato patrimoniale'!C41</f>
        <v>Vanguard FTSE All-World UCITS ETF (USD) Acc</v>
      </c>
      <c r="D41" t="str">
        <f>'Stato patrimoniale'!D41</f>
        <v>ETF</v>
      </c>
      <c r="E41" t="str">
        <f>'Stato patrimoniale'!J41</f>
        <v>EUR</v>
      </c>
      <c r="F41">
        <f>'Stato patrimoniale'!I41</f>
        <v>8</v>
      </c>
      <c r="G41">
        <f>'Stato patrimoniale'!W41</f>
        <v>957.2940000000001</v>
      </c>
      <c r="H41">
        <f>'Stato patrimoniale'!U41</f>
        <v>1</v>
      </c>
      <c r="I41">
        <f>'Stato patrimoniale'!V41</f>
        <v>2.95</v>
      </c>
      <c r="K41" s="91">
        <f>'Stato patrimoniale'!O41</f>
        <v>45446</v>
      </c>
      <c r="L41" s="91" t="s">
        <v>573</v>
      </c>
      <c r="M41" s="70" t="str">
        <f>'Stato patrimoniale'!Q41</f>
        <v>Fineco</v>
      </c>
      <c r="N41" s="70" t="str">
        <f t="shared" si="0"/>
        <v>Fineco</v>
      </c>
    </row>
    <row r="42" spans="1:14" x14ac:dyDescent="0.25">
      <c r="A42">
        <f>'Stato patrimoniale'!L42</f>
        <v>0</v>
      </c>
      <c r="B42" t="str">
        <f>'Stato patrimoniale'!K42</f>
        <v>IT0005584302</v>
      </c>
      <c r="C42" t="str">
        <f>'Stato patrimoniale'!C42</f>
        <v>BTP-28GE26 3,2</v>
      </c>
      <c r="D42" t="str">
        <f>'Stato patrimoniale'!D42</f>
        <v>O</v>
      </c>
      <c r="E42" t="str">
        <f>'Stato patrimoniale'!J42</f>
        <v>EUR</v>
      </c>
      <c r="F42">
        <f>'Stato patrimoniale'!I42</f>
        <v>2000</v>
      </c>
      <c r="G42">
        <f>'Stato patrimoniale'!W42</f>
        <v>2010.3999999999999</v>
      </c>
      <c r="H42">
        <f>'Stato patrimoniale'!U42</f>
        <v>1</v>
      </c>
      <c r="I42">
        <f>'Stato patrimoniale'!V42</f>
        <v>19</v>
      </c>
      <c r="K42" s="91">
        <f>'Stato patrimoniale'!O42</f>
        <v>45470</v>
      </c>
      <c r="L42" s="91" t="s">
        <v>573</v>
      </c>
      <c r="M42" s="70" t="str">
        <f>'Stato patrimoniale'!Q42</f>
        <v>Fineco</v>
      </c>
      <c r="N42" s="70" t="str">
        <f t="shared" si="0"/>
        <v>Fineco</v>
      </c>
    </row>
    <row r="43" spans="1:14" x14ac:dyDescent="0.25">
      <c r="A43" t="str">
        <f>'Stato patrimoniale'!L43</f>
        <v>VWCE.MI</v>
      </c>
      <c r="B43" t="str">
        <f>'Stato patrimoniale'!K43</f>
        <v>IE00BK5BQT80</v>
      </c>
      <c r="C43" t="str">
        <f>'Stato patrimoniale'!C43</f>
        <v>Vanguard FTSE All-World UCITS ETF (USD) Acc</v>
      </c>
      <c r="D43" t="str">
        <f>'Stato patrimoniale'!D43</f>
        <v>ETF</v>
      </c>
      <c r="E43" t="str">
        <f>'Stato patrimoniale'!J43</f>
        <v>EUR</v>
      </c>
      <c r="F43">
        <f>'Stato patrimoniale'!I43</f>
        <v>8</v>
      </c>
      <c r="G43">
        <f>'Stato patrimoniale'!W43</f>
        <v>982.846</v>
      </c>
      <c r="H43">
        <f>'Stato patrimoniale'!U43</f>
        <v>1</v>
      </c>
      <c r="I43">
        <f>'Stato patrimoniale'!V43</f>
        <v>2.95</v>
      </c>
      <c r="K43" s="91">
        <f>'Stato patrimoniale'!O43</f>
        <v>45474</v>
      </c>
      <c r="L43" s="91" t="s">
        <v>573</v>
      </c>
      <c r="M43" s="70" t="str">
        <f>'Stato patrimoniale'!Q43</f>
        <v>Fineco</v>
      </c>
      <c r="N43" s="70" t="str">
        <f t="shared" si="0"/>
        <v>Fineco</v>
      </c>
    </row>
    <row r="44" spans="1:14" x14ac:dyDescent="0.25">
      <c r="A44" t="str">
        <f>'Stato patrimoniale'!L44</f>
        <v>XEON.MI</v>
      </c>
      <c r="B44" t="str">
        <f>'Stato patrimoniale'!K44</f>
        <v>LU0290358497</v>
      </c>
      <c r="C44" t="str">
        <f>'Stato patrimoniale'!C44</f>
        <v>Xtrackers II EUR Overnight Rate Swap UCITS ETF 1C</v>
      </c>
      <c r="D44" t="str">
        <f>'Stato patrimoniale'!D44</f>
        <v>ETF</v>
      </c>
      <c r="E44" t="str">
        <f>'Stato patrimoniale'!J44</f>
        <v>EUR</v>
      </c>
      <c r="F44">
        <f>'Stato patrimoniale'!I44</f>
        <v>7</v>
      </c>
      <c r="G44">
        <f>'Stato patrimoniale'!W44</f>
        <v>996.66489999999999</v>
      </c>
      <c r="H44">
        <f>'Stato patrimoniale'!U44</f>
        <v>1</v>
      </c>
      <c r="I44">
        <f>'Stato patrimoniale'!V44</f>
        <v>0</v>
      </c>
      <c r="K44" s="91">
        <f>'Stato patrimoniale'!O44</f>
        <v>45477</v>
      </c>
      <c r="L44" s="91" t="s">
        <v>573</v>
      </c>
      <c r="M44" s="70" t="str">
        <f>'Stato patrimoniale'!Q44</f>
        <v>Fineco</v>
      </c>
      <c r="N44" s="70" t="str">
        <f t="shared" si="0"/>
        <v>Fineco</v>
      </c>
    </row>
    <row r="45" spans="1:14" x14ac:dyDescent="0.25">
      <c r="A45" t="str">
        <f>'Stato patrimoniale'!L45</f>
        <v>XEON.MI</v>
      </c>
      <c r="B45" t="str">
        <f>'Stato patrimoniale'!K45</f>
        <v>LU0290358497</v>
      </c>
      <c r="C45" t="str">
        <f>'Stato patrimoniale'!C45</f>
        <v>Xtrackers II EUR Overnight Rate Swap UCITS ETF 1C</v>
      </c>
      <c r="D45" t="str">
        <f>'Stato patrimoniale'!D45</f>
        <v>ETF</v>
      </c>
      <c r="E45" t="str">
        <f>'Stato patrimoniale'!J45</f>
        <v>EUR</v>
      </c>
      <c r="F45">
        <f>'Stato patrimoniale'!I45</f>
        <v>7</v>
      </c>
      <c r="G45">
        <f>'Stato patrimoniale'!W45</f>
        <v>999.00149999999985</v>
      </c>
      <c r="H45">
        <f>'Stato patrimoniale'!U45</f>
        <v>1</v>
      </c>
      <c r="I45">
        <f>'Stato patrimoniale'!V45</f>
        <v>0</v>
      </c>
      <c r="K45" s="91">
        <f>'Stato patrimoniale'!O45</f>
        <v>45499</v>
      </c>
      <c r="L45" s="91" t="s">
        <v>573</v>
      </c>
      <c r="M45" s="70" t="str">
        <f>'Stato patrimoniale'!Q45</f>
        <v>Fineco</v>
      </c>
      <c r="N45" s="70" t="str">
        <f t="shared" si="0"/>
        <v>Fineco</v>
      </c>
    </row>
    <row r="46" spans="1:14" x14ac:dyDescent="0.25">
      <c r="A46" t="str">
        <f>'Stato patrimoniale'!L46</f>
        <v>VWCE.MI</v>
      </c>
      <c r="B46" t="str">
        <f>'Stato patrimoniale'!K46</f>
        <v>IE00BK5BQT80</v>
      </c>
      <c r="C46" t="str">
        <f>'Stato patrimoniale'!C46</f>
        <v>Vanguard FTSE All-World UCITS ETF (USD) Acc</v>
      </c>
      <c r="D46" t="str">
        <f>'Stato patrimoniale'!D46</f>
        <v>ETF</v>
      </c>
      <c r="E46" t="str">
        <f>'Stato patrimoniale'!J46</f>
        <v>EUR</v>
      </c>
      <c r="F46">
        <f>'Stato patrimoniale'!I46</f>
        <v>9</v>
      </c>
      <c r="G46">
        <f>'Stato patrimoniale'!W46</f>
        <v>1114.819</v>
      </c>
      <c r="H46">
        <f>'Stato patrimoniale'!U46</f>
        <v>1</v>
      </c>
      <c r="I46">
        <f>'Stato patrimoniale'!V46</f>
        <v>2.95</v>
      </c>
      <c r="K46" s="91">
        <f>'Stato patrimoniale'!O46</f>
        <v>45505</v>
      </c>
      <c r="L46" s="91" t="s">
        <v>573</v>
      </c>
      <c r="M46" s="70" t="str">
        <f>'Stato patrimoniale'!Q46</f>
        <v>Fineco</v>
      </c>
      <c r="N46" s="70" t="str">
        <f t="shared" si="0"/>
        <v>Fineco</v>
      </c>
    </row>
    <row r="47" spans="1:14" x14ac:dyDescent="0.25">
      <c r="A47" t="str">
        <f>'Stato patrimoniale'!L47</f>
        <v>XEON.MI</v>
      </c>
      <c r="B47" t="str">
        <f>'Stato patrimoniale'!K47</f>
        <v>LU0290358497</v>
      </c>
      <c r="C47" t="str">
        <f>'Stato patrimoniale'!C47</f>
        <v>Xtrackers II EUR Overnight Rate Swap UCITS ETF 1C</v>
      </c>
      <c r="D47" t="str">
        <f>'Stato patrimoniale'!D47</f>
        <v>ETF</v>
      </c>
      <c r="E47" t="str">
        <f>'Stato patrimoniale'!J47</f>
        <v>EUR</v>
      </c>
      <c r="F47">
        <f>'Stato patrimoniale'!I47</f>
        <v>7</v>
      </c>
      <c r="G47">
        <f>'Stato patrimoniale'!W47</f>
        <v>1002.1704000000001</v>
      </c>
      <c r="H47">
        <f>'Stato patrimoniale'!U47</f>
        <v>1</v>
      </c>
      <c r="I47">
        <f>'Stato patrimoniale'!V47</f>
        <v>0</v>
      </c>
      <c r="K47" s="91">
        <f>'Stato patrimoniale'!O47</f>
        <v>45499</v>
      </c>
      <c r="L47" s="91" t="s">
        <v>573</v>
      </c>
      <c r="M47" s="70" t="str">
        <f>'Stato patrimoniale'!Q47</f>
        <v>Fineco</v>
      </c>
      <c r="N47" s="70" t="str">
        <f t="shared" si="0"/>
        <v>Fineco</v>
      </c>
    </row>
    <row r="48" spans="1:14" x14ac:dyDescent="0.25">
      <c r="A48" t="str">
        <f>'Stato patrimoniale'!L48</f>
        <v>VWCE.MI</v>
      </c>
      <c r="B48" t="str">
        <f>'Stato patrimoniale'!K48</f>
        <v>IE00BK5BQT80</v>
      </c>
      <c r="C48" t="str">
        <f>'Stato patrimoniale'!C48</f>
        <v>Vanguard FTSE All-World UCITS ETF (USD) Acc</v>
      </c>
      <c r="D48" t="str">
        <f>'Stato patrimoniale'!D48</f>
        <v>ETF</v>
      </c>
      <c r="E48" t="str">
        <f>'Stato patrimoniale'!J48</f>
        <v>EUR</v>
      </c>
      <c r="F48">
        <f>'Stato patrimoniale'!I48</f>
        <v>9</v>
      </c>
      <c r="G48">
        <f>'Stato patrimoniale'!W48</f>
        <v>1114.98802</v>
      </c>
      <c r="H48">
        <f>'Stato patrimoniale'!U48</f>
        <v>1</v>
      </c>
      <c r="I48">
        <f>'Stato patrimoniale'!V48</f>
        <v>2.3199999999999998</v>
      </c>
      <c r="K48" s="91">
        <f>'Stato patrimoniale'!O48</f>
        <v>45538</v>
      </c>
      <c r="L48" s="91" t="s">
        <v>573</v>
      </c>
      <c r="M48" s="70" t="str">
        <f>'Stato patrimoniale'!Q48</f>
        <v>Fineco</v>
      </c>
      <c r="N48" s="70" t="str">
        <f t="shared" si="0"/>
        <v>Fineco</v>
      </c>
    </row>
    <row r="49" spans="1:14" x14ac:dyDescent="0.25">
      <c r="A49" t="str">
        <f>'Stato patrimoniale'!L49</f>
        <v>IVOA.DE</v>
      </c>
      <c r="B49" t="str">
        <f>'Stato patrimoniale'!K49</f>
        <v>IE0008UEVOE0</v>
      </c>
      <c r="C49" t="str">
        <f>'Stato patrimoniale'!C49</f>
        <v>iShares iBonds Dec 2028 Term EUR Corp UCITS ETF (Acc)</v>
      </c>
      <c r="D49" t="str">
        <f>'Stato patrimoniale'!D49</f>
        <v>ETF</v>
      </c>
      <c r="E49" t="str">
        <f>'Stato patrimoniale'!J49</f>
        <v>EUR</v>
      </c>
      <c r="F49">
        <f>'Stato patrimoniale'!I49</f>
        <v>450</v>
      </c>
      <c r="G49">
        <f>'Stato patrimoniale'!W49</f>
        <v>2417.7220000000002</v>
      </c>
      <c r="H49">
        <f>'Stato patrimoniale'!U49</f>
        <v>1</v>
      </c>
      <c r="I49">
        <f>'Stato patrimoniale'!V49</f>
        <v>2.3199999999999998</v>
      </c>
      <c r="K49" s="91">
        <f>'Stato patrimoniale'!O49</f>
        <v>45538</v>
      </c>
      <c r="L49" s="91" t="s">
        <v>573</v>
      </c>
      <c r="M49" s="70" t="str">
        <f>'Stato patrimoniale'!Q49</f>
        <v>Fineco</v>
      </c>
      <c r="N49" s="70" t="str">
        <f t="shared" si="0"/>
        <v>Fineco</v>
      </c>
    </row>
    <row r="50" spans="1:14" x14ac:dyDescent="0.25">
      <c r="A50" t="str">
        <f>'Stato patrimoniale'!L50</f>
        <v>MB28.MI</v>
      </c>
      <c r="B50" t="str">
        <f>'Stato patrimoniale'!K50</f>
        <v>LU2780871401</v>
      </c>
      <c r="C50" t="str">
        <f>'Stato patrimoniale'!C50</f>
        <v>Amundi IS Fix. Mat. 2028 Euro Gov Bd Br. UCITS ETF Dis</v>
      </c>
      <c r="D50" t="str">
        <f>'Stato patrimoniale'!D50</f>
        <v>ETF</v>
      </c>
      <c r="E50" t="str">
        <f>'Stato patrimoniale'!J50</f>
        <v>EUR</v>
      </c>
      <c r="F50">
        <f>'Stato patrimoniale'!I50</f>
        <v>250</v>
      </c>
      <c r="G50">
        <f>'Stato patrimoniale'!W50</f>
        <v>2569.6400000000003</v>
      </c>
      <c r="H50">
        <f>'Stato patrimoniale'!U50</f>
        <v>1</v>
      </c>
      <c r="I50">
        <f>'Stato patrimoniale'!V50</f>
        <v>2.3199999999999998</v>
      </c>
      <c r="K50" s="91">
        <f>'Stato patrimoniale'!O50</f>
        <v>45538</v>
      </c>
      <c r="L50" s="91" t="s">
        <v>573</v>
      </c>
      <c r="M50" s="70" t="str">
        <f>'Stato patrimoniale'!Q50</f>
        <v>Fineco</v>
      </c>
      <c r="N50" s="70" t="str">
        <f t="shared" si="0"/>
        <v>Fineco</v>
      </c>
    </row>
    <row r="51" spans="1:14" x14ac:dyDescent="0.25">
      <c r="A51" t="str">
        <f>'Stato patrimoniale'!L51</f>
        <v>XEON.MI</v>
      </c>
      <c r="B51" t="str">
        <f>'Stato patrimoniale'!K51</f>
        <v>LU0290358497</v>
      </c>
      <c r="C51" t="str">
        <f>'Stato patrimoniale'!C51</f>
        <v>Xtrackers II EUR Overnight Rate Swap UCITS ETF 1C</v>
      </c>
      <c r="D51" t="str">
        <f>'Stato patrimoniale'!D51</f>
        <v>ETF</v>
      </c>
      <c r="E51" t="str">
        <f>'Stato patrimoniale'!J51</f>
        <v>EUR</v>
      </c>
      <c r="F51">
        <f>'Stato patrimoniale'!I51</f>
        <v>21</v>
      </c>
      <c r="G51">
        <f>'Stato patrimoniale'!W51</f>
        <v>3016.125</v>
      </c>
      <c r="H51">
        <f>'Stato patrimoniale'!U51</f>
        <v>1</v>
      </c>
      <c r="I51">
        <f>'Stato patrimoniale'!V51</f>
        <v>0</v>
      </c>
      <c r="K51" s="91">
        <f>'Stato patrimoniale'!O51</f>
        <v>45562</v>
      </c>
      <c r="L51" s="91" t="s">
        <v>573</v>
      </c>
      <c r="M51" s="70" t="str">
        <f>'Stato patrimoniale'!Q51</f>
        <v>Fineco</v>
      </c>
      <c r="N51" s="70" t="str">
        <f t="shared" si="0"/>
        <v>Fineco</v>
      </c>
    </row>
    <row r="52" spans="1:14" x14ac:dyDescent="0.25">
      <c r="A52" t="str">
        <f>'Stato patrimoniale'!L52</f>
        <v>VWCE.MI</v>
      </c>
      <c r="B52" t="str">
        <f>'Stato patrimoniale'!K52</f>
        <v>IE00BK5BQT80</v>
      </c>
      <c r="C52" t="str">
        <f>'Stato patrimoniale'!C52</f>
        <v>Vanguard FTSE All-World UCITS ETF (USD) Acc</v>
      </c>
      <c r="D52" t="str">
        <f>'Stato patrimoniale'!D52</f>
        <v>ETF</v>
      </c>
      <c r="E52" t="str">
        <f>'Stato patrimoniale'!J52</f>
        <v>EUR</v>
      </c>
      <c r="F52">
        <f>'Stato patrimoniale'!I52</f>
        <v>9</v>
      </c>
      <c r="G52">
        <f>'Stato patrimoniale'!W52</f>
        <v>1136.0229999999999</v>
      </c>
      <c r="H52">
        <f>'Stato patrimoniale'!U52</f>
        <v>1</v>
      </c>
      <c r="I52">
        <f>'Stato patrimoniale'!V52</f>
        <v>2.3199999999999998</v>
      </c>
      <c r="K52" s="91">
        <f>'Stato patrimoniale'!O52</f>
        <v>45566</v>
      </c>
      <c r="L52" s="91" t="s">
        <v>573</v>
      </c>
      <c r="M52" s="70" t="str">
        <f>'Stato patrimoniale'!Q52</f>
        <v>Fineco</v>
      </c>
      <c r="N52" s="70" t="str">
        <f t="shared" si="0"/>
        <v>Fineco</v>
      </c>
    </row>
    <row r="53" spans="1:14" x14ac:dyDescent="0.25">
      <c r="A53" t="str">
        <f>'Stato patrimoniale'!L53</f>
        <v>IVOA.DE</v>
      </c>
      <c r="B53" t="str">
        <f>'Stato patrimoniale'!K53</f>
        <v>IE0008UEVOE0</v>
      </c>
      <c r="C53" t="str">
        <f>'Stato patrimoniale'!C53</f>
        <v>iShares iBonds Dec 2028 Term EUR Corp UCITS ETF (Acc)</v>
      </c>
      <c r="D53" t="str">
        <f>'Stato patrimoniale'!D53</f>
        <v>ETF</v>
      </c>
      <c r="E53" t="str">
        <f>'Stato patrimoniale'!J53</f>
        <v>EUR</v>
      </c>
      <c r="F53">
        <f>'Stato patrimoniale'!I53</f>
        <v>450</v>
      </c>
      <c r="G53">
        <f>'Stato patrimoniale'!W53</f>
        <v>2448.9700000000003</v>
      </c>
      <c r="H53">
        <f>'Stato patrimoniale'!U53</f>
        <v>1</v>
      </c>
      <c r="I53">
        <f>'Stato patrimoniale'!V53</f>
        <v>2.3199999999999998</v>
      </c>
      <c r="K53" s="91">
        <f>'Stato patrimoniale'!O53</f>
        <v>45566</v>
      </c>
      <c r="L53" s="91" t="s">
        <v>573</v>
      </c>
      <c r="M53" s="70" t="str">
        <f>'Stato patrimoniale'!Q53</f>
        <v>Fineco</v>
      </c>
      <c r="N53" s="70" t="str">
        <f t="shared" si="0"/>
        <v>Fineco</v>
      </c>
    </row>
    <row r="54" spans="1:14" x14ac:dyDescent="0.25">
      <c r="A54" t="str">
        <f>'Stato patrimoniale'!L54</f>
        <v>MB28.MI</v>
      </c>
      <c r="B54" t="str">
        <f>'Stato patrimoniale'!K54</f>
        <v>LU2780871401</v>
      </c>
      <c r="C54" t="str">
        <f>'Stato patrimoniale'!C54</f>
        <v>Amundi IS Fix. Mat. 2028 Euro Gov Bd Br. UCITS ETF Dis</v>
      </c>
      <c r="D54" t="str">
        <f>'Stato patrimoniale'!D54</f>
        <v>ETF</v>
      </c>
      <c r="E54" t="str">
        <f>'Stato patrimoniale'!J54</f>
        <v>EUR</v>
      </c>
      <c r="F54">
        <f>'Stato patrimoniale'!I54</f>
        <v>250</v>
      </c>
      <c r="G54">
        <f>'Stato patrimoniale'!W54</f>
        <v>2604.3200000000002</v>
      </c>
      <c r="H54">
        <f>'Stato patrimoniale'!U54</f>
        <v>1</v>
      </c>
      <c r="I54">
        <f>'Stato patrimoniale'!V54</f>
        <v>2.3199999999999998</v>
      </c>
      <c r="K54" s="91">
        <f>'Stato patrimoniale'!O54</f>
        <v>45566</v>
      </c>
      <c r="L54" s="91" t="s">
        <v>573</v>
      </c>
      <c r="M54" s="70" t="str">
        <f>'Stato patrimoniale'!Q54</f>
        <v>Fineco</v>
      </c>
      <c r="N54" s="70" t="str">
        <f t="shared" si="0"/>
        <v>Fineco</v>
      </c>
    </row>
    <row r="55" spans="1:14" x14ac:dyDescent="0.25">
      <c r="A55" t="str">
        <f>'Stato patrimoniale'!L55</f>
        <v>XEON.MI</v>
      </c>
      <c r="B55" t="str">
        <f>'Stato patrimoniale'!K55</f>
        <v>LU0290358497</v>
      </c>
      <c r="C55" t="str">
        <f>'Stato patrimoniale'!C55</f>
        <v>Xtrackers II EUR Overnight Rate Swap UCITS ETF 1C</v>
      </c>
      <c r="D55" t="str">
        <f>'Stato patrimoniale'!D55</f>
        <v>ETF</v>
      </c>
      <c r="E55" t="str">
        <f>'Stato patrimoniale'!J55</f>
        <v>EUR</v>
      </c>
      <c r="F55">
        <f>'Stato patrimoniale'!I55</f>
        <v>5</v>
      </c>
      <c r="G55">
        <f>'Stato patrimoniale'!W55</f>
        <v>720.10949999999991</v>
      </c>
      <c r="H55">
        <f>'Stato patrimoniale'!U55</f>
        <v>1</v>
      </c>
      <c r="I55">
        <f>'Stato patrimoniale'!V55</f>
        <v>0</v>
      </c>
      <c r="K55" s="91">
        <f>'Stato patrimoniale'!O55</f>
        <v>45593</v>
      </c>
      <c r="L55" s="91" t="s">
        <v>573</v>
      </c>
      <c r="M55" s="70" t="str">
        <f>'Stato patrimoniale'!Q55</f>
        <v>Fineco</v>
      </c>
      <c r="N55" s="70" t="str">
        <f t="shared" si="0"/>
        <v>Fineco</v>
      </c>
    </row>
    <row r="56" spans="1:14" x14ac:dyDescent="0.25">
      <c r="A56" t="str">
        <f>'Stato patrimoniale'!L56</f>
        <v>VWCE.MI</v>
      </c>
      <c r="B56" t="str">
        <f>'Stato patrimoniale'!K56</f>
        <v>IE00BK5BQT80</v>
      </c>
      <c r="C56" t="str">
        <f>'Stato patrimoniale'!C56</f>
        <v>Vanguard FTSE All-World UCITS ETF (USD) Acc</v>
      </c>
      <c r="D56" t="str">
        <f>'Stato patrimoniale'!D56</f>
        <v>ETF</v>
      </c>
      <c r="E56" t="str">
        <f>'Stato patrimoniale'!J56</f>
        <v>EUR</v>
      </c>
      <c r="F56">
        <f>'Stato patrimoniale'!I56</f>
        <v>8</v>
      </c>
      <c r="G56">
        <f>'Stato patrimoniale'!W56</f>
        <v>1015.11</v>
      </c>
      <c r="H56">
        <f>'Stato patrimoniale'!U56</f>
        <v>1</v>
      </c>
      <c r="I56">
        <f>'Stato patrimoniale'!V56</f>
        <v>2.95</v>
      </c>
      <c r="K56" s="91">
        <f>'Stato patrimoniale'!O56</f>
        <v>45597</v>
      </c>
      <c r="L56" s="91" t="s">
        <v>573</v>
      </c>
      <c r="M56" s="70" t="str">
        <f>'Stato patrimoniale'!Q56</f>
        <v>Fineco</v>
      </c>
      <c r="N56" s="70" t="str">
        <f t="shared" si="0"/>
        <v>Fineco</v>
      </c>
    </row>
    <row r="57" spans="1:14" x14ac:dyDescent="0.25">
      <c r="A57" t="str">
        <f>'Stato patrimoniale'!L57</f>
        <v>XEON.MI</v>
      </c>
      <c r="B57" t="str">
        <f>'Stato patrimoniale'!K57</f>
        <v>LU0290358497</v>
      </c>
      <c r="C57" t="str">
        <f>'Stato patrimoniale'!C57</f>
        <v>Xtrackers II EUR Overnight Rate Swap UCITS ETF 1C</v>
      </c>
      <c r="D57" t="str">
        <f>'Stato patrimoniale'!D57</f>
        <v>ETF</v>
      </c>
      <c r="E57" t="str">
        <f>'Stato patrimoniale'!J57</f>
        <v>EUR</v>
      </c>
      <c r="F57">
        <f>'Stato patrimoniale'!I57</f>
        <v>3</v>
      </c>
      <c r="G57">
        <f>'Stato patrimoniale'!W57</f>
        <v>433.2561</v>
      </c>
      <c r="H57">
        <f>'Stato patrimoniale'!U57</f>
        <v>1</v>
      </c>
      <c r="I57">
        <f>'Stato patrimoniale'!V57</f>
        <v>0</v>
      </c>
      <c r="K57" s="91">
        <f>'Stato patrimoniale'!O57</f>
        <v>45623</v>
      </c>
      <c r="L57" s="91" t="s">
        <v>573</v>
      </c>
      <c r="M57" s="70" t="str">
        <f>'Stato patrimoniale'!Q57</f>
        <v>Fineco</v>
      </c>
      <c r="N57" s="70" t="str">
        <f t="shared" si="0"/>
        <v>Fineco</v>
      </c>
    </row>
    <row r="58" spans="1:14" x14ac:dyDescent="0.25">
      <c r="A58" t="str">
        <f>'Stato patrimoniale'!L58</f>
        <v>VWCE.MI</v>
      </c>
      <c r="B58" t="str">
        <f>'Stato patrimoniale'!K58</f>
        <v>IE00BK5BQT80</v>
      </c>
      <c r="C58" t="str">
        <f>'Stato patrimoniale'!C58</f>
        <v>Vanguard FTSE All-World UCITS ETF (USD) Acc</v>
      </c>
      <c r="D58" t="str">
        <f>'Stato patrimoniale'!D58</f>
        <v>ETF</v>
      </c>
      <c r="E58" t="str">
        <f>'Stato patrimoniale'!J58</f>
        <v>EUR</v>
      </c>
      <c r="F58">
        <f>'Stato patrimoniale'!I58</f>
        <v>8</v>
      </c>
      <c r="G58">
        <f>'Stato patrimoniale'!W58</f>
        <v>1083.47</v>
      </c>
      <c r="H58">
        <f>'Stato patrimoniale'!U58</f>
        <v>1</v>
      </c>
      <c r="I58">
        <f>'Stato patrimoniale'!V58</f>
        <v>2.95</v>
      </c>
      <c r="K58" s="91">
        <f>'Stato patrimoniale'!O58</f>
        <v>45628</v>
      </c>
      <c r="L58" s="91" t="s">
        <v>573</v>
      </c>
      <c r="M58" s="70" t="str">
        <f>'Stato patrimoniale'!Q58</f>
        <v>Fineco</v>
      </c>
      <c r="N58" s="70" t="str">
        <f t="shared" si="0"/>
        <v>Fineco</v>
      </c>
    </row>
    <row r="59" spans="1:14" x14ac:dyDescent="0.25">
      <c r="A59" t="str">
        <f>'Stato patrimoniale'!L59</f>
        <v>VWCE.MI</v>
      </c>
      <c r="B59" t="str">
        <f>'Stato patrimoniale'!K59</f>
        <v>IE00BK5BQT80</v>
      </c>
      <c r="C59" t="str">
        <f>'Stato patrimoniale'!C59</f>
        <v>Vanguard FTSE All-World UCITS ETF (USD) Acc</v>
      </c>
      <c r="D59" t="str">
        <f>'Stato patrimoniale'!D59</f>
        <v>ETF</v>
      </c>
      <c r="E59" t="str">
        <f>'Stato patrimoniale'!J59</f>
        <v>EUR</v>
      </c>
      <c r="F59">
        <f>'Stato patrimoniale'!I59</f>
        <v>8</v>
      </c>
      <c r="G59">
        <f>'Stato patrimoniale'!W59</f>
        <v>1080.1004</v>
      </c>
      <c r="H59">
        <f>'Stato patrimoniale'!U59</f>
        <v>1</v>
      </c>
      <c r="I59">
        <f>'Stato patrimoniale'!V59</f>
        <v>2.95</v>
      </c>
      <c r="K59" s="91">
        <f>'Stato patrimoniale'!O59</f>
        <v>45659</v>
      </c>
      <c r="L59" s="91" t="s">
        <v>573</v>
      </c>
      <c r="M59" s="70" t="str">
        <f>'Stato patrimoniale'!Q59</f>
        <v>Fineco</v>
      </c>
      <c r="N59" s="70" t="str">
        <f t="shared" si="0"/>
        <v>Fineco</v>
      </c>
    </row>
    <row r="60" spans="1:14" x14ac:dyDescent="0.25">
      <c r="A60">
        <f>'Stato patrimoniale'!L60</f>
        <v>0</v>
      </c>
      <c r="B60" t="str">
        <f>'Stato patrimoniale'!K60</f>
        <v>IT0005634800</v>
      </c>
      <c r="C60" t="str">
        <f>'Stato patrimoniale'!C60</f>
        <v>BTP-PIU 25FB33 CUM</v>
      </c>
      <c r="D60" t="str">
        <f>'Stato patrimoniale'!D60</f>
        <v>O</v>
      </c>
      <c r="E60" t="str">
        <f>'Stato patrimoniale'!J60</f>
        <v>EUR</v>
      </c>
      <c r="F60">
        <f>'Stato patrimoniale'!I60</f>
        <v>2000</v>
      </c>
      <c r="G60">
        <f>'Stato patrimoniale'!W60</f>
        <v>2000</v>
      </c>
      <c r="H60">
        <f>'Stato patrimoniale'!U60</f>
        <v>1</v>
      </c>
      <c r="I60">
        <f>'Stato patrimoniale'!V60</f>
        <v>0</v>
      </c>
      <c r="K60" s="91">
        <f>'Stato patrimoniale'!O60</f>
        <v>45705</v>
      </c>
      <c r="L60" s="91" t="s">
        <v>573</v>
      </c>
      <c r="M60" s="70" t="str">
        <f>'Stato patrimoniale'!Q60</f>
        <v>Fineco</v>
      </c>
      <c r="N60" s="70" t="str">
        <f t="shared" si="0"/>
        <v>Fineco</v>
      </c>
    </row>
    <row r="61" spans="1:14" x14ac:dyDescent="0.25">
      <c r="A61">
        <f>'Stato patrimoniale'!L61</f>
        <v>0</v>
      </c>
      <c r="B61" t="str">
        <f>'Stato patrimoniale'!K61</f>
        <v>FR001400AIN5</v>
      </c>
      <c r="C61" t="str">
        <f>'Stato patrimoniale'!C61</f>
        <v>FRANCE-25FB28 0,75</v>
      </c>
      <c r="D61" t="str">
        <f>'Stato patrimoniale'!D61</f>
        <v>O</v>
      </c>
      <c r="E61" t="str">
        <f>'Stato patrimoniale'!J61</f>
        <v>EUR</v>
      </c>
      <c r="F61">
        <f>'Stato patrimoniale'!I61</f>
        <v>2000</v>
      </c>
      <c r="G61">
        <f>'Stato patrimoniale'!W61</f>
        <v>1918.3999999999999</v>
      </c>
      <c r="H61">
        <f>'Stato patrimoniale'!U61</f>
        <v>1</v>
      </c>
      <c r="I61">
        <f>'Stato patrimoniale'!V61</f>
        <v>8</v>
      </c>
      <c r="K61" s="91">
        <f>'Stato patrimoniale'!O61</f>
        <v>45715</v>
      </c>
      <c r="L61" s="91" t="s">
        <v>573</v>
      </c>
      <c r="M61" s="70" t="str">
        <f>'Stato patrimoniale'!Q61</f>
        <v>Directa</v>
      </c>
      <c r="N61" s="70" t="str">
        <f t="shared" si="0"/>
        <v>Directa</v>
      </c>
    </row>
    <row r="62" spans="1:14" x14ac:dyDescent="0.25">
      <c r="A62" t="str">
        <f>'Stato patrimoniale'!L62</f>
        <v>VWCE.MI</v>
      </c>
      <c r="B62" t="str">
        <f>'Stato patrimoniale'!K62</f>
        <v>IE00BK5BQT80</v>
      </c>
      <c r="C62" t="str">
        <f>'Stato patrimoniale'!C62</f>
        <v>Vanguard FTSE All-World UCITS ETF (USD) Acc</v>
      </c>
      <c r="D62" t="str">
        <f>'Stato patrimoniale'!D62</f>
        <v>ETF</v>
      </c>
      <c r="E62" t="str">
        <f>'Stato patrimoniale'!J62</f>
        <v>EUR</v>
      </c>
      <c r="F62">
        <f>'Stato patrimoniale'!I62</f>
        <v>15</v>
      </c>
      <c r="G62">
        <f>'Stato patrimoniale'!W62</f>
        <v>2058.0999999999995</v>
      </c>
      <c r="H62">
        <f>'Stato patrimoniale'!U62</f>
        <v>1</v>
      </c>
      <c r="I62">
        <f>'Stato patrimoniale'!V62</f>
        <v>2.95</v>
      </c>
      <c r="K62" s="91">
        <f>'Stato patrimoniale'!O62</f>
        <v>45719</v>
      </c>
      <c r="L62" s="91" t="s">
        <v>573</v>
      </c>
      <c r="M62" s="70" t="str">
        <f>'Stato patrimoniale'!Q62</f>
        <v>Fineco</v>
      </c>
      <c r="N62" s="70" t="str">
        <f t="shared" si="0"/>
        <v>Fineco</v>
      </c>
    </row>
    <row r="63" spans="1:14" x14ac:dyDescent="0.25">
      <c r="A63" t="str">
        <f>'Stato patrimoniale'!L63</f>
        <v>VWCE.MI</v>
      </c>
      <c r="B63" t="str">
        <f>'Stato patrimoniale'!K63</f>
        <v>IE00BK5BQT80</v>
      </c>
      <c r="C63" t="str">
        <f>'Stato patrimoniale'!C63</f>
        <v>Vanguard FTSE All-World UCITS ETF (USD) Acc</v>
      </c>
      <c r="D63" t="str">
        <f>'Stato patrimoniale'!D63</f>
        <v>ETF</v>
      </c>
      <c r="E63" t="str">
        <f>'Stato patrimoniale'!J63</f>
        <v>EUR</v>
      </c>
      <c r="F63">
        <f>'Stato patrimoniale'!I63</f>
        <v>8</v>
      </c>
      <c r="G63">
        <f>'Stato patrimoniale'!W63</f>
        <v>1019.5980000000001</v>
      </c>
      <c r="H63">
        <f>'Stato patrimoniale'!U63</f>
        <v>1</v>
      </c>
      <c r="I63">
        <f>'Stato patrimoniale'!V63</f>
        <v>2.95</v>
      </c>
      <c r="K63" s="91">
        <f>'Stato patrimoniale'!O63</f>
        <v>45748</v>
      </c>
      <c r="L63" s="91" t="s">
        <v>573</v>
      </c>
      <c r="M63" s="70" t="str">
        <f>'Stato patrimoniale'!Q63</f>
        <v>Fineco</v>
      </c>
      <c r="N63" s="70" t="str">
        <f t="shared" si="0"/>
        <v>Fineco</v>
      </c>
    </row>
    <row r="64" spans="1:14" x14ac:dyDescent="0.25">
      <c r="A64" t="str">
        <f>'Stato patrimoniale'!L64</f>
        <v>VWCE.MI</v>
      </c>
      <c r="B64" t="str">
        <f>'Stato patrimoniale'!K64</f>
        <v>IE00BK5BQT80</v>
      </c>
      <c r="C64" t="str">
        <f>'Stato patrimoniale'!C64</f>
        <v>Vanguard FTSE All-World UCITS ETF (USD) Acc</v>
      </c>
      <c r="D64" t="str">
        <f>'Stato patrimoniale'!D64</f>
        <v>ETF</v>
      </c>
      <c r="E64" t="str">
        <f>'Stato patrimoniale'!J64</f>
        <v>EUR</v>
      </c>
      <c r="F64">
        <f>'Stato patrimoniale'!I64</f>
        <v>9</v>
      </c>
      <c r="G64">
        <f>'Stato patrimoniale'!W64</f>
        <v>1116.1600000000001</v>
      </c>
      <c r="H64">
        <f>'Stato patrimoniale'!U64</f>
        <v>1</v>
      </c>
      <c r="I64">
        <f>'Stato patrimoniale'!V64</f>
        <v>2.95</v>
      </c>
      <c r="K64" s="91">
        <f>'Stato patrimoniale'!O64</f>
        <v>45779</v>
      </c>
      <c r="L64" s="91" t="s">
        <v>573</v>
      </c>
      <c r="M64" s="70" t="str">
        <f>'Stato patrimoniale'!Q64</f>
        <v>Fineco</v>
      </c>
      <c r="N64" s="70" t="str">
        <f t="shared" si="0"/>
        <v>Fineco</v>
      </c>
    </row>
    <row r="65" spans="1:14" x14ac:dyDescent="0.25">
      <c r="A65" t="str">
        <f>'Stato patrimoniale'!L65</f>
        <v>29GA.MI</v>
      </c>
      <c r="B65" t="str">
        <f>'Stato patrimoniale'!K65</f>
        <v>IE000SNLFDR7</v>
      </c>
      <c r="C65" t="str">
        <f>'Stato patrimoniale'!C65</f>
        <v>iShares iBonds Dec 2029 Term EUR Corp UCITS ETF (Acc)</v>
      </c>
      <c r="D65" t="str">
        <f>'Stato patrimoniale'!D65</f>
        <v>ETF</v>
      </c>
      <c r="E65" t="str">
        <f>'Stato patrimoniale'!J65</f>
        <v>EUR</v>
      </c>
      <c r="F65">
        <f>'Stato patrimoniale'!I65</f>
        <v>880</v>
      </c>
      <c r="G65">
        <f>'Stato patrimoniale'!W65</f>
        <v>4586.46</v>
      </c>
      <c r="H65">
        <f>'Stato patrimoniale'!U65</f>
        <v>1</v>
      </c>
      <c r="I65">
        <f>'Stato patrimoniale'!V65</f>
        <v>8.6999999999999993</v>
      </c>
      <c r="K65" s="91">
        <f>'Stato patrimoniale'!O65</f>
        <v>45793</v>
      </c>
      <c r="L65" s="91" t="s">
        <v>573</v>
      </c>
      <c r="M65" s="70" t="str">
        <f>'Stato patrimoniale'!Q65</f>
        <v>Directa</v>
      </c>
      <c r="N65" s="70" t="str">
        <f t="shared" ref="N65:N89" si="2">M65</f>
        <v>Directa</v>
      </c>
    </row>
    <row r="66" spans="1:14" x14ac:dyDescent="0.25">
      <c r="A66">
        <f>'Stato patrimoniale'!L66</f>
        <v>0</v>
      </c>
      <c r="B66" t="str">
        <f>'Stato patrimoniale'!K66</f>
        <v>IT0005648248</v>
      </c>
      <c r="C66" t="str">
        <f>'Stato patrimoniale'!C66</f>
        <v>BTP ITALIA-4GN32 CUM</v>
      </c>
      <c r="D66" t="str">
        <f>'Stato patrimoniale'!D66</f>
        <v>O</v>
      </c>
      <c r="E66" t="str">
        <f>'Stato patrimoniale'!J66</f>
        <v>EUR</v>
      </c>
      <c r="F66">
        <f>'Stato patrimoniale'!I66</f>
        <v>2000</v>
      </c>
      <c r="G66">
        <f>'Stato patrimoniale'!W66</f>
        <v>2000</v>
      </c>
      <c r="H66">
        <f>'Stato patrimoniale'!U66</f>
        <v>1</v>
      </c>
      <c r="I66">
        <f>'Stato patrimoniale'!V66</f>
        <v>0</v>
      </c>
      <c r="K66" s="91">
        <f>'Stato patrimoniale'!O66</f>
        <v>45812</v>
      </c>
      <c r="L66" s="91" t="s">
        <v>573</v>
      </c>
      <c r="M66" s="70" t="str">
        <f>'Stato patrimoniale'!Q66</f>
        <v>Fineco</v>
      </c>
      <c r="N66" s="70" t="str">
        <f t="shared" si="2"/>
        <v>Fineco</v>
      </c>
    </row>
    <row r="67" spans="1:14" x14ac:dyDescent="0.25">
      <c r="A67" t="str">
        <f>'Stato patrimoniale'!L67</f>
        <v>SGLD.MI</v>
      </c>
      <c r="B67" t="str">
        <f>'Stato patrimoniale'!K67</f>
        <v>IE00B579F325</v>
      </c>
      <c r="C67" t="str">
        <f>'Stato patrimoniale'!C67</f>
        <v>Invesco Physical Gold ETC</v>
      </c>
      <c r="D67" t="str">
        <f>'Stato patrimoniale'!D67</f>
        <v>ETF</v>
      </c>
      <c r="E67" t="str">
        <f>'Stato patrimoniale'!J67</f>
        <v>EUR</v>
      </c>
      <c r="F67">
        <f>'Stato patrimoniale'!I67</f>
        <v>5</v>
      </c>
      <c r="G67">
        <f>'Stato patrimoniale'!W67</f>
        <v>1400.1100000000001</v>
      </c>
      <c r="H67">
        <f>'Stato patrimoniale'!U67</f>
        <v>1</v>
      </c>
      <c r="I67">
        <f>'Stato patrimoniale'!V67</f>
        <v>2.66</v>
      </c>
      <c r="K67" s="91">
        <f>'Stato patrimoniale'!O67</f>
        <v>45804</v>
      </c>
      <c r="L67" s="91" t="s">
        <v>573</v>
      </c>
      <c r="M67" s="70" t="str">
        <f>'Stato patrimoniale'!Q67</f>
        <v>Directa</v>
      </c>
      <c r="N67" s="70" t="str">
        <f t="shared" si="2"/>
        <v>Directa</v>
      </c>
    </row>
    <row r="68" spans="1:14" x14ac:dyDescent="0.25">
      <c r="A68" t="str">
        <f>'Stato patrimoniale'!L68</f>
        <v>VWCE.MI</v>
      </c>
      <c r="B68" t="str">
        <f>'Stato patrimoniale'!K68</f>
        <v>IE00BK5BQT80</v>
      </c>
      <c r="C68" t="str">
        <f>'Stato patrimoniale'!C68</f>
        <v>Vanguard FTSE All-World UCITS ETF (USD) Acc</v>
      </c>
      <c r="D68" t="str">
        <f>'Stato patrimoniale'!D68</f>
        <v>ETF</v>
      </c>
      <c r="E68" t="str">
        <f>'Stato patrimoniale'!J68</f>
        <v>EUR</v>
      </c>
      <c r="F68">
        <f>'Stato patrimoniale'!I68</f>
        <v>8</v>
      </c>
      <c r="G68">
        <f>'Stato patrimoniale'!W68</f>
        <v>1022.3100000000001</v>
      </c>
      <c r="H68">
        <f>'Stato patrimoniale'!U68</f>
        <v>1</v>
      </c>
      <c r="I68">
        <f>'Stato patrimoniale'!V68</f>
        <v>2.95</v>
      </c>
      <c r="K68" s="91">
        <f>'Stato patrimoniale'!O68</f>
        <v>45810</v>
      </c>
      <c r="L68" s="91" t="s">
        <v>573</v>
      </c>
      <c r="M68" s="70" t="str">
        <f>'Stato patrimoniale'!Q68</f>
        <v>Fineco</v>
      </c>
      <c r="N68" s="70" t="str">
        <f t="shared" si="2"/>
        <v>Fineco</v>
      </c>
    </row>
    <row r="69" spans="1:14" x14ac:dyDescent="0.25">
      <c r="A69" t="str">
        <f>'Stato patrimoniale'!L69</f>
        <v>30IA.MI</v>
      </c>
      <c r="B69" t="str">
        <f>'Stato patrimoniale'!K69</f>
        <v>IE000Y2BJVK9</v>
      </c>
      <c r="C69" t="str">
        <f>'Stato patrimoniale'!C69</f>
        <v>iShares iBonds Dec 2030 Term EUR Corp UCITS ETF EUR (Acc)</v>
      </c>
      <c r="D69" t="str">
        <f>'Stato patrimoniale'!D69</f>
        <v>ETF</v>
      </c>
      <c r="E69" t="str">
        <f>'Stato patrimoniale'!J69</f>
        <v>EUR</v>
      </c>
      <c r="F69">
        <f>'Stato patrimoniale'!I69</f>
        <v>476</v>
      </c>
      <c r="G69">
        <f>'Stato patrimoniale'!W69</f>
        <v>2496.59</v>
      </c>
      <c r="H69">
        <f>'Stato patrimoniale'!U69</f>
        <v>1</v>
      </c>
      <c r="I69">
        <f>'Stato patrimoniale'!V69</f>
        <v>4.7300000000000004</v>
      </c>
      <c r="K69" s="91">
        <f>'Stato patrimoniale'!O69</f>
        <v>45838</v>
      </c>
      <c r="L69" s="91" t="s">
        <v>573</v>
      </c>
      <c r="M69" s="70" t="str">
        <f>'Stato patrimoniale'!Q69</f>
        <v>Directa</v>
      </c>
      <c r="N69" s="70" t="str">
        <f t="shared" si="2"/>
        <v>Directa</v>
      </c>
    </row>
    <row r="70" spans="1:14" x14ac:dyDescent="0.25">
      <c r="A70" t="str">
        <f>'Stato patrimoniale'!L70</f>
        <v>VWCE.MI</v>
      </c>
      <c r="B70" t="str">
        <f>'Stato patrimoniale'!K70</f>
        <v>IE00BK5BQT80</v>
      </c>
      <c r="C70" t="str">
        <f>'Stato patrimoniale'!C70</f>
        <v>Vanguard FTSE All-World UCITS ETF (USD) Acc</v>
      </c>
      <c r="D70" t="str">
        <f>'Stato patrimoniale'!D70</f>
        <v>ETF</v>
      </c>
      <c r="E70" t="str">
        <f>'Stato patrimoniale'!J70</f>
        <v>EUR</v>
      </c>
      <c r="F70">
        <f>'Stato patrimoniale'!I70</f>
        <v>8</v>
      </c>
      <c r="G70">
        <f>'Stato patrimoniale'!W70</f>
        <v>1039.43</v>
      </c>
      <c r="H70">
        <f>'Stato patrimoniale'!U70</f>
        <v>1</v>
      </c>
      <c r="I70">
        <f>'Stato patrimoniale'!V70</f>
        <v>2.95</v>
      </c>
      <c r="K70" s="91">
        <f>'Stato patrimoniale'!O70</f>
        <v>45839</v>
      </c>
      <c r="L70" s="91" t="s">
        <v>573</v>
      </c>
      <c r="M70" s="70" t="str">
        <f>'Stato patrimoniale'!Q70</f>
        <v>Fineco</v>
      </c>
      <c r="N70" s="70" t="str">
        <f t="shared" si="2"/>
        <v>Fineco</v>
      </c>
    </row>
    <row r="71" spans="1:14" x14ac:dyDescent="0.25">
      <c r="A71" t="str">
        <f>'Stato patrimoniale'!L71</f>
        <v>30IA.MI</v>
      </c>
      <c r="B71" t="str">
        <f>'Stato patrimoniale'!K71</f>
        <v>IE000Y2BJVK9</v>
      </c>
      <c r="C71" t="str">
        <f>'Stato patrimoniale'!C71</f>
        <v>iShares iBonds Dec 2030 Term EUR Corp UCITS ETF EUR (Acc)</v>
      </c>
      <c r="D71" t="str">
        <f>'Stato patrimoniale'!D71</f>
        <v>ETF</v>
      </c>
      <c r="E71" t="str">
        <f>'Stato patrimoniale'!J71</f>
        <v>EUR</v>
      </c>
      <c r="F71">
        <f>'Stato patrimoniale'!I71</f>
        <v>400</v>
      </c>
      <c r="G71">
        <f>'Stato patrimoniale'!W71</f>
        <v>2107.1999999999998</v>
      </c>
      <c r="H71">
        <f>'Stato patrimoniale'!U71</f>
        <v>1</v>
      </c>
      <c r="I71">
        <f>'Stato patrimoniale'!V71</f>
        <v>4</v>
      </c>
      <c r="K71" s="91">
        <f>'Stato patrimoniale'!O71</f>
        <v>45866</v>
      </c>
      <c r="L71" s="91" t="s">
        <v>573</v>
      </c>
      <c r="M71" s="70" t="str">
        <f>'Stato patrimoniale'!Q71</f>
        <v>Directa</v>
      </c>
      <c r="N71" s="70" t="str">
        <f t="shared" si="2"/>
        <v>Directa</v>
      </c>
    </row>
    <row r="72" spans="1:14" x14ac:dyDescent="0.25">
      <c r="A72" t="str">
        <f>'Stato patrimoniale'!L72</f>
        <v>VWCE.MI</v>
      </c>
      <c r="B72" t="str">
        <f>'Stato patrimoniale'!K72</f>
        <v>IE00BK5BQT80</v>
      </c>
      <c r="C72" t="str">
        <f>'Stato patrimoniale'!C72</f>
        <v>Vanguard FTSE All-World UCITS ETF (USD) Acc</v>
      </c>
      <c r="D72" t="str">
        <f>'Stato patrimoniale'!D72</f>
        <v>ETF</v>
      </c>
      <c r="E72" t="str">
        <f>'Stato patrimoniale'!J72</f>
        <v>EUR</v>
      </c>
      <c r="F72">
        <f>'Stato patrimoniale'!I72</f>
        <v>8</v>
      </c>
      <c r="G72">
        <f>'Stato patrimoniale'!W72</f>
        <v>1070.55</v>
      </c>
      <c r="H72">
        <f>'Stato patrimoniale'!U72</f>
        <v>1</v>
      </c>
      <c r="I72">
        <f>'Stato patrimoniale'!V72</f>
        <v>2.95</v>
      </c>
      <c r="K72" s="91">
        <f>'Stato patrimoniale'!O72</f>
        <v>45873</v>
      </c>
      <c r="L72" s="91" t="s">
        <v>573</v>
      </c>
      <c r="M72" s="70" t="str">
        <f>'Stato patrimoniale'!Q72</f>
        <v>Fineco</v>
      </c>
      <c r="N72" s="70" t="str">
        <f t="shared" si="2"/>
        <v>Fineco</v>
      </c>
    </row>
    <row r="73" spans="1:14" x14ac:dyDescent="0.25">
      <c r="A73" t="str">
        <f>'Stato patrimoniale'!L73</f>
        <v>IG31.MI</v>
      </c>
      <c r="B73" t="str">
        <f>'Stato patrimoniale'!K73</f>
        <v>IE000D9WMGF0</v>
      </c>
      <c r="C73" t="str">
        <f>'Stato patrimoniale'!C73</f>
        <v>iShares iBonds Dec 2031 Term EUR Corp UCITS ETF EUR (Acc)</v>
      </c>
      <c r="D73" t="str">
        <f>'Stato patrimoniale'!D73</f>
        <v>ETF</v>
      </c>
      <c r="E73" t="str">
        <f>'Stato patrimoniale'!J73</f>
        <v>EUR</v>
      </c>
      <c r="F73">
        <f>'Stato patrimoniale'!I73</f>
        <v>670</v>
      </c>
      <c r="G73">
        <f>'Stato patrimoniale'!W73</f>
        <v>3498.0000000000005</v>
      </c>
      <c r="H73">
        <f>'Stato patrimoniale'!U73</f>
        <v>1</v>
      </c>
      <c r="I73">
        <f>'Stato patrimoniale'!V73</f>
        <v>6.63</v>
      </c>
      <c r="K73" s="91">
        <f>'Stato patrimoniale'!O73</f>
        <v>45896</v>
      </c>
      <c r="L73" s="91" t="s">
        <v>573</v>
      </c>
      <c r="M73" s="70" t="str">
        <f>'Stato patrimoniale'!Q73</f>
        <v>Directa</v>
      </c>
      <c r="N73" s="70" t="str">
        <f t="shared" si="2"/>
        <v>Directa</v>
      </c>
    </row>
    <row r="74" spans="1:14" x14ac:dyDescent="0.25">
      <c r="A74" t="str">
        <f>'Stato patrimoniale'!L74</f>
        <v>VWCE.MI</v>
      </c>
      <c r="B74" t="str">
        <f>'Stato patrimoniale'!K74</f>
        <v>IE00BK5BQT80</v>
      </c>
      <c r="C74" t="str">
        <f>'Stato patrimoniale'!C74</f>
        <v>Vanguard FTSE All-World UCITS ETF (USD) Acc</v>
      </c>
      <c r="D74" t="str">
        <f>'Stato patrimoniale'!D74</f>
        <v>ETF</v>
      </c>
      <c r="E74" t="str">
        <f>'Stato patrimoniale'!J74</f>
        <v>EUR</v>
      </c>
      <c r="F74">
        <f>'Stato patrimoniale'!I74</f>
        <v>8</v>
      </c>
      <c r="G74">
        <f>'Stato patrimoniale'!W74</f>
        <v>1083.8300000000002</v>
      </c>
      <c r="H74">
        <f>'Stato patrimoniale'!U74</f>
        <v>1</v>
      </c>
      <c r="I74">
        <f>'Stato patrimoniale'!V74</f>
        <v>2.95</v>
      </c>
      <c r="K74" s="91">
        <f>'Stato patrimoniale'!O74</f>
        <v>45902</v>
      </c>
      <c r="L74" s="91" t="s">
        <v>573</v>
      </c>
      <c r="M74" s="70" t="str">
        <f>'Stato patrimoniale'!Q74</f>
        <v>Directa</v>
      </c>
      <c r="N74" s="70" t="str">
        <f t="shared" si="2"/>
        <v>Directa</v>
      </c>
    </row>
    <row r="75" spans="1:14" x14ac:dyDescent="0.25">
      <c r="A75" t="str">
        <f>'Stato patrimoniale'!L75</f>
        <v>VWCE.MI</v>
      </c>
      <c r="B75" t="str">
        <f>'Stato patrimoniale'!K75</f>
        <v>IE00BK5BQT80</v>
      </c>
      <c r="C75" t="str">
        <f>'Stato patrimoniale'!C75</f>
        <v>Vanguard FTSE All-World UCITS ETF (USD) Acc</v>
      </c>
      <c r="D75" t="str">
        <f>'Stato patrimoniale'!D75</f>
        <v>ETF</v>
      </c>
      <c r="E75" t="str">
        <f>'Stato patrimoniale'!J75</f>
        <v>EUR</v>
      </c>
      <c r="F75">
        <f>'Stato patrimoniale'!I75</f>
        <v>8</v>
      </c>
      <c r="G75">
        <f>'Stato patrimoniale'!W75</f>
        <v>1123.1100000000001</v>
      </c>
      <c r="H75">
        <f>'Stato patrimoniale'!U75</f>
        <v>1</v>
      </c>
      <c r="I75">
        <f>'Stato patrimoniale'!V75</f>
        <v>2.95</v>
      </c>
      <c r="K75" s="91">
        <f>'Stato patrimoniale'!O75</f>
        <v>45931</v>
      </c>
      <c r="L75" s="91" t="s">
        <v>573</v>
      </c>
      <c r="M75" s="70" t="str">
        <f>'Stato patrimoniale'!Q75</f>
        <v>Directa</v>
      </c>
      <c r="N75" s="70" t="str">
        <f t="shared" si="2"/>
        <v>Directa</v>
      </c>
    </row>
    <row r="76" spans="1:14" x14ac:dyDescent="0.25">
      <c r="A76">
        <f>'Stato patrimoniale'!L76</f>
        <v>0</v>
      </c>
      <c r="B76" t="str">
        <f>'Stato patrimoniale'!K76</f>
        <v>IT0005672024</v>
      </c>
      <c r="C76" t="str">
        <f>'Stato patrimoniale'!C76</f>
        <v>BTP VAL-28OT32 CUM</v>
      </c>
      <c r="D76" t="str">
        <f>'Stato patrimoniale'!D76</f>
        <v>O</v>
      </c>
      <c r="E76" t="str">
        <f>'Stato patrimoniale'!J76</f>
        <v>EUR</v>
      </c>
      <c r="F76">
        <f>'Stato patrimoniale'!I76</f>
        <v>6000</v>
      </c>
      <c r="G76">
        <f>'Stato patrimoniale'!W76</f>
        <v>6000</v>
      </c>
      <c r="H76">
        <f>'Stato patrimoniale'!U76</f>
        <v>1</v>
      </c>
      <c r="I76">
        <f>'Stato patrimoniale'!V76</f>
        <v>0</v>
      </c>
      <c r="K76" s="91">
        <f>'Stato patrimoniale'!O76</f>
        <v>45950</v>
      </c>
      <c r="L76" s="91" t="s">
        <v>573</v>
      </c>
      <c r="M76" s="70" t="str">
        <f>'Stato patrimoniale'!Q76</f>
        <v>Fineco</v>
      </c>
      <c r="N76" s="70" t="str">
        <f t="shared" si="2"/>
        <v>Fineco</v>
      </c>
    </row>
    <row r="77" spans="1:14" x14ac:dyDescent="0.25">
      <c r="A77" t="str">
        <f>'Stato patrimoniale'!L77</f>
        <v>VWCE.MI</v>
      </c>
      <c r="B77" t="str">
        <f>'Stato patrimoniale'!K77</f>
        <v>IE00BK5BQT80</v>
      </c>
      <c r="C77" t="str">
        <f>'Stato patrimoniale'!C77</f>
        <v>Vanguard FTSE All-World UCITS ETF (USD) Acc</v>
      </c>
      <c r="D77" t="str">
        <f>'Stato patrimoniale'!D77</f>
        <v>ETF</v>
      </c>
      <c r="E77" t="str">
        <f>'Stato patrimoniale'!J77</f>
        <v>EUR</v>
      </c>
      <c r="F77">
        <f>'Stato patrimoniale'!I77</f>
        <v>8</v>
      </c>
      <c r="G77">
        <f>'Stato patrimoniale'!W77</f>
        <v>1167.76</v>
      </c>
      <c r="H77">
        <f>'Stato patrimoniale'!U77</f>
        <v>1</v>
      </c>
      <c r="I77">
        <f>'Stato patrimoniale'!V77</f>
        <v>0</v>
      </c>
      <c r="K77" s="91">
        <f>'Stato patrimoniale'!O77</f>
        <v>45964</v>
      </c>
      <c r="L77" s="91" t="s">
        <v>573</v>
      </c>
      <c r="M77" s="70" t="str">
        <f>'Stato patrimoniale'!Q77</f>
        <v>Fineco</v>
      </c>
      <c r="N77" s="70" t="str">
        <f t="shared" si="2"/>
        <v>Fineco</v>
      </c>
    </row>
    <row r="78" spans="1:14" x14ac:dyDescent="0.25">
      <c r="A78" t="str">
        <f>'Stato patrimoniale'!L78</f>
        <v>XEON.MI</v>
      </c>
      <c r="B78" t="str">
        <f>'Stato patrimoniale'!K78</f>
        <v>LU0290358497</v>
      </c>
      <c r="C78" t="str">
        <f>'Stato patrimoniale'!C78</f>
        <v>Xtrackers II EUR Overnight Rate Swap UCITS ETF 1C</v>
      </c>
      <c r="D78" t="str">
        <f>'Stato patrimoniale'!D78</f>
        <v>ETF</v>
      </c>
      <c r="E78" t="str">
        <f>'Stato patrimoniale'!J78</f>
        <v>EUR</v>
      </c>
      <c r="F78">
        <f>'Stato patrimoniale'!I78</f>
        <v>68</v>
      </c>
      <c r="G78">
        <f>'Stato patrimoniale'!W78</f>
        <v>10050.2912</v>
      </c>
      <c r="H78">
        <f>'Stato patrimoniale'!U78</f>
        <v>1</v>
      </c>
      <c r="I78">
        <f>'Stato patrimoniale'!V78</f>
        <v>0</v>
      </c>
      <c r="K78" s="91">
        <f>'Stato patrimoniale'!O78</f>
        <v>45992</v>
      </c>
      <c r="L78" s="91" t="s">
        <v>573</v>
      </c>
      <c r="M78" s="70" t="str">
        <f>'Stato patrimoniale'!Q78</f>
        <v>Fineco</v>
      </c>
      <c r="N78" s="70" t="str">
        <f t="shared" si="2"/>
        <v>Fineco</v>
      </c>
    </row>
    <row r="79" spans="1:14" x14ac:dyDescent="0.25">
      <c r="A79" t="str">
        <f>'Stato patrimoniale'!L79</f>
        <v>X13E.MI</v>
      </c>
      <c r="B79" t="str">
        <f>'Stato patrimoniale'!K79</f>
        <v>LU0290356871</v>
      </c>
      <c r="C79" t="str">
        <f>'Stato patrimoniale'!C79</f>
        <v>Xtrackers II Eurozone Gov. Bond 1-3 UCITS ETF 1C</v>
      </c>
      <c r="D79" t="str">
        <f>'Stato patrimoniale'!D79</f>
        <v>ETF</v>
      </c>
      <c r="E79" t="str">
        <f>'Stato patrimoniale'!J79</f>
        <v>EUR</v>
      </c>
      <c r="F79">
        <f>'Stato patrimoniale'!I79</f>
        <v>58</v>
      </c>
      <c r="G79">
        <f>'Stato patrimoniale'!W79</f>
        <v>10068.388199999999</v>
      </c>
      <c r="H79">
        <f>'Stato patrimoniale'!U79</f>
        <v>1</v>
      </c>
      <c r="I79">
        <f>'Stato patrimoniale'!V79</f>
        <v>0</v>
      </c>
      <c r="K79" s="91">
        <f>'Stato patrimoniale'!O79</f>
        <v>45992</v>
      </c>
      <c r="L79" s="91" t="s">
        <v>573</v>
      </c>
      <c r="M79" s="70" t="str">
        <f>'Stato patrimoniale'!Q79</f>
        <v>Fineco</v>
      </c>
      <c r="N79" s="70" t="str">
        <f t="shared" si="2"/>
        <v>Fineco</v>
      </c>
    </row>
    <row r="80" spans="1:14" x14ac:dyDescent="0.25">
      <c r="A80" t="str">
        <f>'Stato patrimoniale'!L80</f>
        <v>EM35.MI</v>
      </c>
      <c r="B80" t="str">
        <f>'Stato patrimoniale'!K80</f>
        <v>LU1650488494</v>
      </c>
      <c r="C80" t="str">
        <f>'Stato patrimoniale'!C80</f>
        <v>Amundi Euro Government Bond 3-5Y UCITS ETF Acc</v>
      </c>
      <c r="D80" t="str">
        <f>'Stato patrimoniale'!D80</f>
        <v>ETF</v>
      </c>
      <c r="E80" t="str">
        <f>'Stato patrimoniale'!J80</f>
        <v>EUR</v>
      </c>
      <c r="F80">
        <f>'Stato patrimoniale'!I80</f>
        <v>66</v>
      </c>
      <c r="G80">
        <f>'Stato patrimoniale'!W80</f>
        <v>10068.960000000001</v>
      </c>
      <c r="H80">
        <f>'Stato patrimoniale'!U80</f>
        <v>1</v>
      </c>
      <c r="I80">
        <f>'Stato patrimoniale'!V80</f>
        <v>0</v>
      </c>
      <c r="K80" s="91">
        <f>'Stato patrimoniale'!O80</f>
        <v>45992</v>
      </c>
      <c r="L80" s="91" t="s">
        <v>573</v>
      </c>
      <c r="M80" s="70" t="str">
        <f>'Stato patrimoniale'!Q80</f>
        <v>Fineco</v>
      </c>
      <c r="N80" s="70" t="str">
        <f t="shared" si="2"/>
        <v>Fineco</v>
      </c>
    </row>
    <row r="81" spans="1:14" x14ac:dyDescent="0.25">
      <c r="A81" t="str">
        <f>'Stato patrimoniale'!L81</f>
        <v>EXUS.MI</v>
      </c>
      <c r="B81" t="str">
        <f>'Stato patrimoniale'!K81</f>
        <v>IE0006WW1TQ4</v>
      </c>
      <c r="C81" t="str">
        <f>'Stato patrimoniale'!C81</f>
        <v>Xtrackers MSCI World ex USA UCITS ETF 1C</v>
      </c>
      <c r="D81" t="str">
        <f>'Stato patrimoniale'!D81</f>
        <v>ETF</v>
      </c>
      <c r="E81" t="str">
        <f>'Stato patrimoniale'!J81</f>
        <v>EUR</v>
      </c>
      <c r="F81">
        <f>'Stato patrimoniale'!I81</f>
        <v>292</v>
      </c>
      <c r="G81">
        <f>'Stato patrimoniale'!W81</f>
        <v>10014.140000000001</v>
      </c>
      <c r="H81">
        <f>'Stato patrimoniale'!U81</f>
        <v>1</v>
      </c>
      <c r="I81">
        <f>'Stato patrimoniale'!V81</f>
        <v>0</v>
      </c>
      <c r="K81" s="91">
        <f>'Stato patrimoniale'!O81</f>
        <v>45992</v>
      </c>
      <c r="L81" s="91" t="s">
        <v>573</v>
      </c>
      <c r="M81" s="70" t="str">
        <f>'Stato patrimoniale'!Q81</f>
        <v>Fineco</v>
      </c>
      <c r="N81" s="70" t="str">
        <f t="shared" si="2"/>
        <v>Fineco</v>
      </c>
    </row>
    <row r="82" spans="1:14" x14ac:dyDescent="0.25">
      <c r="A82" t="str">
        <f>'Stato patrimoniale'!L82</f>
        <v>CSEMU.MI</v>
      </c>
      <c r="B82" t="str">
        <f>'Stato patrimoniale'!K82</f>
        <v>IE00B53QG562</v>
      </c>
      <c r="C82" t="str">
        <f>'Stato patrimoniale'!C82</f>
        <v>iShares Core MSCI EMU UCITS ETF EUR (Acc)</v>
      </c>
      <c r="D82" t="str">
        <f>'Stato patrimoniale'!D82</f>
        <v>ETF</v>
      </c>
      <c r="E82" t="str">
        <f>'Stato patrimoniale'!J82</f>
        <v>EUR</v>
      </c>
      <c r="F82">
        <f>'Stato patrimoniale'!I82</f>
        <v>46</v>
      </c>
      <c r="G82">
        <f>'Stato patrimoniale'!W82</f>
        <v>9828.5</v>
      </c>
      <c r="H82">
        <f>'Stato patrimoniale'!U82</f>
        <v>1</v>
      </c>
      <c r="I82">
        <f>'Stato patrimoniale'!V82</f>
        <v>19</v>
      </c>
      <c r="K82" s="91">
        <f>'Stato patrimoniale'!O82</f>
        <v>45992</v>
      </c>
      <c r="L82" s="91" t="s">
        <v>573</v>
      </c>
      <c r="M82" s="70" t="str">
        <f>'Stato patrimoniale'!Q82</f>
        <v>Fineco</v>
      </c>
      <c r="N82" s="70" t="str">
        <f t="shared" si="2"/>
        <v>Fineco</v>
      </c>
    </row>
    <row r="83" spans="1:14" x14ac:dyDescent="0.25">
      <c r="A83" t="str">
        <f>'Stato patrimoniale'!L83</f>
        <v>VWCE.MI</v>
      </c>
      <c r="B83" t="str">
        <f>'Stato patrimoniale'!K83</f>
        <v>IE00BK5BQT80</v>
      </c>
      <c r="C83" t="str">
        <f>'Stato patrimoniale'!C83</f>
        <v>Vanguard FTSE All-World UCITS ETF (USD) Acc</v>
      </c>
      <c r="D83" t="str">
        <f>'Stato patrimoniale'!D83</f>
        <v>ETF</v>
      </c>
      <c r="E83" t="str">
        <f>'Stato patrimoniale'!J83</f>
        <v>EUR</v>
      </c>
      <c r="F83">
        <f>'Stato patrimoniale'!I83</f>
        <v>8</v>
      </c>
      <c r="G83">
        <f>'Stato patrimoniale'!W83</f>
        <v>1155.874744</v>
      </c>
      <c r="H83">
        <f>'Stato patrimoniale'!U83</f>
        <v>1</v>
      </c>
      <c r="I83">
        <f>'Stato patrimoniale'!V83</f>
        <v>2.95</v>
      </c>
      <c r="K83" s="91">
        <f>'Stato patrimoniale'!O83</f>
        <v>45992</v>
      </c>
      <c r="L83" s="91" t="s">
        <v>573</v>
      </c>
      <c r="M83" s="70" t="str">
        <f>'Stato patrimoniale'!Q83</f>
        <v>Fineco</v>
      </c>
      <c r="N83" s="70" t="str">
        <f t="shared" si="2"/>
        <v>Fineco</v>
      </c>
    </row>
    <row r="84" spans="1:14" x14ac:dyDescent="0.25">
      <c r="A84" t="str">
        <f>'Stato patrimoniale'!L84</f>
        <v>VWCE.MI</v>
      </c>
      <c r="B84" t="str">
        <f>'Stato patrimoniale'!K84</f>
        <v>IE00BK5BQT80</v>
      </c>
      <c r="C84" t="str">
        <f>'Stato patrimoniale'!C84</f>
        <v>Vanguard FTSE All-World UCITS ETF (USD) Acc</v>
      </c>
      <c r="D84" t="str">
        <f>'Stato patrimoniale'!D84</f>
        <v>ETF</v>
      </c>
      <c r="E84" t="str">
        <f>'Stato patrimoniale'!J84</f>
        <v>EUR</v>
      </c>
      <c r="F84">
        <f>'Stato patrimoniale'!I84</f>
        <v>8</v>
      </c>
      <c r="G84">
        <f>'Stato patrimoniale'!W84</f>
        <v>1178.47</v>
      </c>
      <c r="H84">
        <f>'Stato patrimoniale'!U84</f>
        <v>1</v>
      </c>
      <c r="I84">
        <f>'Stato patrimoniale'!V84</f>
        <v>2.95</v>
      </c>
      <c r="K84" s="91">
        <f>'Stato patrimoniale'!O84</f>
        <v>45662</v>
      </c>
      <c r="L84" s="91" t="s">
        <v>573</v>
      </c>
      <c r="M84" s="70" t="str">
        <f>'Stato patrimoniale'!Q84</f>
        <v>Fineco</v>
      </c>
      <c r="N84" s="70" t="str">
        <f t="shared" si="2"/>
        <v>Fineco</v>
      </c>
    </row>
    <row r="85" spans="1:14" x14ac:dyDescent="0.25">
      <c r="A85" t="str">
        <f>'Stato patrimoniale'!L85</f>
        <v>VWCE.MI</v>
      </c>
      <c r="B85" t="str">
        <f>'Stato patrimoniale'!K85</f>
        <v>IE00BK5BQT80</v>
      </c>
      <c r="C85" t="str">
        <f>'Stato patrimoniale'!C85</f>
        <v>Vanguard FTSE All-World UCITS ETF (USD) Acc</v>
      </c>
      <c r="D85" t="str">
        <f>'Stato patrimoniale'!D85</f>
        <v>ETF</v>
      </c>
      <c r="E85" t="str">
        <f>'Stato patrimoniale'!J85</f>
        <v>EUR</v>
      </c>
      <c r="F85">
        <f>'Stato patrimoniale'!I85</f>
        <v>7</v>
      </c>
      <c r="G85">
        <f>'Stato patrimoniale'!W85</f>
        <v>1039.23</v>
      </c>
      <c r="H85">
        <f>'Stato patrimoniale'!U85</f>
        <v>1</v>
      </c>
      <c r="I85">
        <f>'Stato patrimoniale'!V85</f>
        <v>2.95</v>
      </c>
      <c r="K85" s="91">
        <f>'Stato patrimoniale'!O85</f>
        <v>46055</v>
      </c>
      <c r="L85" s="91" t="s">
        <v>573</v>
      </c>
      <c r="M85" s="70" t="str">
        <f>'Stato patrimoniale'!Q85</f>
        <v>Fineco</v>
      </c>
      <c r="N85" s="70" t="str">
        <f t="shared" si="2"/>
        <v>Fineco</v>
      </c>
    </row>
    <row r="86" spans="1:14" x14ac:dyDescent="0.25">
      <c r="A86">
        <f>'Stato patrimoniale'!L86</f>
        <v>0</v>
      </c>
      <c r="B86" t="str">
        <f>'Stato patrimoniale'!K86</f>
        <v>IT0005696320</v>
      </c>
      <c r="C86" t="str">
        <f>'Stato patrimoniale'!C86</f>
        <v>BTP-10MZ32 VAL CUM</v>
      </c>
      <c r="D86" t="str">
        <f>'Stato patrimoniale'!D86</f>
        <v>O</v>
      </c>
      <c r="E86" t="str">
        <f>'Stato patrimoniale'!J86</f>
        <v>EUR</v>
      </c>
      <c r="F86">
        <f>'Stato patrimoniale'!I86</f>
        <v>6000</v>
      </c>
      <c r="G86">
        <f>'Stato patrimoniale'!W86</f>
        <v>6000</v>
      </c>
      <c r="H86">
        <f>'Stato patrimoniale'!U86</f>
        <v>1</v>
      </c>
      <c r="I86">
        <f>'Stato patrimoniale'!V86</f>
        <v>0</v>
      </c>
      <c r="K86" s="91">
        <f>'Stato patrimoniale'!O86</f>
        <v>46083</v>
      </c>
      <c r="L86" s="91" t="s">
        <v>573</v>
      </c>
      <c r="M86" s="70" t="str">
        <f>'Stato patrimoniale'!Q86</f>
        <v>Fineco</v>
      </c>
      <c r="N86" s="70" t="str">
        <f t="shared" si="2"/>
        <v>Fineco</v>
      </c>
    </row>
    <row r="87" spans="1:14" x14ac:dyDescent="0.25">
      <c r="A87" t="str">
        <f>'Stato patrimoniale'!L87</f>
        <v>VWCE.MI</v>
      </c>
      <c r="B87" t="str">
        <f>'Stato patrimoniale'!K87</f>
        <v>IE00BK5BQT80</v>
      </c>
      <c r="C87" t="str">
        <f>'Stato patrimoniale'!C87</f>
        <v>Vanguard FTSE All-World UCITS ETF (USD) Acc</v>
      </c>
      <c r="D87" t="str">
        <f>'Stato patrimoniale'!D87</f>
        <v>ETF</v>
      </c>
      <c r="E87" t="str">
        <f>'Stato patrimoniale'!J87</f>
        <v>EUR</v>
      </c>
      <c r="F87">
        <f>'Stato patrimoniale'!I87</f>
        <v>7</v>
      </c>
      <c r="G87">
        <f>'Stato patrimoniale'!W87</f>
        <v>1050.8499999999999</v>
      </c>
      <c r="H87">
        <f>'Stato patrimoniale'!U87</f>
        <v>1</v>
      </c>
      <c r="I87">
        <f>'Stato patrimoniale'!V87</f>
        <v>2.95</v>
      </c>
      <c r="K87" s="91">
        <f>'Stato patrimoniale'!O87</f>
        <v>46083</v>
      </c>
      <c r="L87" s="91" t="s">
        <v>573</v>
      </c>
      <c r="M87" s="70" t="str">
        <f>'Stato patrimoniale'!Q87</f>
        <v>Fineco</v>
      </c>
      <c r="N87" s="70" t="str">
        <f t="shared" si="2"/>
        <v>Fineco</v>
      </c>
    </row>
    <row r="88" spans="1:14" x14ac:dyDescent="0.25">
      <c r="A88" t="str">
        <f>'Stato patrimoniale'!L88</f>
        <v>VWCE.MI</v>
      </c>
      <c r="B88" t="str">
        <f>'Stato patrimoniale'!K88</f>
        <v>IE00BK5BQT80</v>
      </c>
      <c r="C88" t="str">
        <f>'Stato patrimoniale'!C88</f>
        <v>Vanguard FTSE All-World UCITS ETF (USD) Acc</v>
      </c>
      <c r="D88" t="str">
        <f>'Stato patrimoniale'!D88</f>
        <v>ETF</v>
      </c>
      <c r="E88" t="str">
        <f>'Stato patrimoniale'!J88</f>
        <v>EUR</v>
      </c>
      <c r="F88">
        <f>'Stato patrimoniale'!I88</f>
        <v>7</v>
      </c>
      <c r="G88">
        <f>'Stato patrimoniale'!W88</f>
        <v>1013.68</v>
      </c>
      <c r="H88">
        <f>'Stato patrimoniale'!U88</f>
        <v>1</v>
      </c>
      <c r="I88">
        <f>'Stato patrimoniale'!V88</f>
        <v>2.95</v>
      </c>
      <c r="K88" s="91">
        <f>'Stato patrimoniale'!O88</f>
        <v>46113</v>
      </c>
      <c r="L88" s="91" t="s">
        <v>573</v>
      </c>
      <c r="M88" s="70" t="str">
        <f>'Stato patrimoniale'!Q88</f>
        <v>Fineco</v>
      </c>
      <c r="N88" s="70" t="str">
        <f t="shared" si="2"/>
        <v>Fineco</v>
      </c>
    </row>
    <row r="89" spans="1:14" x14ac:dyDescent="0.25">
      <c r="A89" t="str">
        <f>'Stato patrimoniale'!L89</f>
        <v>VWCE.MI</v>
      </c>
      <c r="B89" t="str">
        <f>'Stato patrimoniale'!K89</f>
        <v>IE00BK5BQT80</v>
      </c>
      <c r="C89" t="str">
        <f>'Stato patrimoniale'!C89</f>
        <v>Vanguard FTSE All-World UCITS ETF (USD) Acc</v>
      </c>
      <c r="D89" t="str">
        <f>'Stato patrimoniale'!D89</f>
        <v>ETF</v>
      </c>
      <c r="E89" t="str">
        <f>'Stato patrimoniale'!J89</f>
        <v>EUR</v>
      </c>
      <c r="F89">
        <f>'Stato patrimoniale'!I89</f>
        <v>7</v>
      </c>
      <c r="G89">
        <f>'Stato patrimoniale'!W89</f>
        <v>1094.0400000000002</v>
      </c>
      <c r="H89">
        <f>'Stato patrimoniale'!U89</f>
        <v>1</v>
      </c>
      <c r="I89">
        <f>'Stato patrimoniale'!V89</f>
        <v>2.95</v>
      </c>
      <c r="K89" s="91">
        <f>'Stato patrimoniale'!O89</f>
        <v>46147</v>
      </c>
      <c r="L89" s="91" t="s">
        <v>573</v>
      </c>
      <c r="M89" s="70" t="str">
        <f>'Stato patrimoniale'!Q89</f>
        <v>Fineco</v>
      </c>
      <c r="N89" s="70" t="str">
        <f t="shared" si="2"/>
        <v>Fineco</v>
      </c>
    </row>
    <row r="90" spans="1:14" x14ac:dyDescent="0.25">
      <c r="A90">
        <f>'Stato patrimoniale'!L90</f>
        <v>0</v>
      </c>
      <c r="B90">
        <f>'Stato patrimoniale'!K90</f>
        <v>0</v>
      </c>
    </row>
    <row r="91" spans="1:14" x14ac:dyDescent="0.25">
      <c r="B91">
        <f>'Stato patrimoniale'!K91</f>
        <v>0</v>
      </c>
    </row>
    <row r="92" spans="1:14" x14ac:dyDescent="0.25">
      <c r="B92">
        <f>'Stato patrimoniale'!K92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FBDD-9850-4FDF-BFFF-AE4CBA2CB57A}">
  <dimension ref="A1:O20"/>
  <sheetViews>
    <sheetView tabSelected="1" workbookViewId="0">
      <selection activeCell="G9" sqref="G9:G10"/>
    </sheetView>
  </sheetViews>
  <sheetFormatPr defaultRowHeight="15" x14ac:dyDescent="0.25"/>
  <cols>
    <col min="1" max="1" width="3" bestFit="1" customWidth="1"/>
    <col min="2" max="3" width="13.42578125" bestFit="1" customWidth="1"/>
    <col min="4" max="4" width="53.5703125" bestFit="1" customWidth="1"/>
    <col min="5" max="5" width="5.42578125" bestFit="1" customWidth="1"/>
    <col min="6" max="6" width="22.140625" bestFit="1" customWidth="1"/>
    <col min="7" max="7" width="6.85546875" bestFit="1" customWidth="1"/>
    <col min="8" max="8" width="9" bestFit="1" customWidth="1"/>
    <col min="9" max="9" width="13.42578125" bestFit="1" customWidth="1"/>
    <col min="10" max="10" width="4.85546875" bestFit="1" customWidth="1"/>
    <col min="11" max="11" width="5.7109375" bestFit="1" customWidth="1"/>
    <col min="12" max="12" width="10.42578125" style="91" customWidth="1"/>
    <col min="13" max="13" width="5.28515625" bestFit="1" customWidth="1"/>
    <col min="14" max="14" width="17.28515625" bestFit="1" customWidth="1"/>
    <col min="15" max="15" width="12.7109375" bestFit="1" customWidth="1"/>
  </cols>
  <sheetData>
    <row r="1" spans="1:15" x14ac:dyDescent="0.25">
      <c r="A1" t="s">
        <v>580</v>
      </c>
      <c r="B1" t="s">
        <v>565</v>
      </c>
      <c r="C1" t="s">
        <v>17</v>
      </c>
      <c r="D1" t="s">
        <v>566</v>
      </c>
      <c r="E1" t="s">
        <v>577</v>
      </c>
      <c r="F1" t="s">
        <v>579</v>
      </c>
      <c r="G1" t="s">
        <v>574</v>
      </c>
      <c r="H1" t="s">
        <v>572</v>
      </c>
      <c r="I1" t="s">
        <v>578</v>
      </c>
      <c r="J1" t="s">
        <v>575</v>
      </c>
      <c r="K1" t="s">
        <v>576</v>
      </c>
      <c r="L1" s="91" t="s">
        <v>571</v>
      </c>
      <c r="M1" s="91" t="s">
        <v>570</v>
      </c>
      <c r="N1" t="s">
        <v>568</v>
      </c>
      <c r="O1" t="s">
        <v>569</v>
      </c>
    </row>
    <row r="2" spans="1:15" x14ac:dyDescent="0.25">
      <c r="A2" cm="1">
        <f t="array" ref="A2:A20">_xlfn._xlws.FILTER('Stato patrimoniale'!A2:A10004,'Stato patrimoniale'!AG2:AG10004&lt;&gt;"")</f>
        <v>13</v>
      </c>
      <c r="B2" t="str">
        <f>IF(INDEX('Stato patrimoniale'!L:L,MATCH(A2,'Stato patrimoniale'!A:A,0))&lt;&gt;0,INDEX('Stato patrimoniale'!L:L,MATCH(A2,'Stato patrimoniale'!A:A,0)),"")</f>
        <v>CNHI.VI</v>
      </c>
      <c r="C2" t="str">
        <f>INDEX('Stato patrimoniale'!K:K,MATCH(A2,'Stato patrimoniale'!A:A,0))</f>
        <v>NL0010545661</v>
      </c>
      <c r="D2" t="str">
        <f>INDEX('Stato patrimoniale'!C:C,MATCH(A2,'Stato patrimoniale'!A:A,0))</f>
        <v>CNH Industrial</v>
      </c>
      <c r="E2" t="str">
        <f>INDEX('Stato patrimoniale'!D:D,MATCH(A2,'Stato patrimoniale'!A:A,0))</f>
        <v>A</v>
      </c>
      <c r="F2" t="str">
        <f>INDEX('Stato patrimoniale'!J:J,MATCH(A2,'Stato patrimoniale'!A:A,0))</f>
        <v>EUR</v>
      </c>
      <c r="G2">
        <f>INDEX('Stato patrimoniale'!I:I,MATCH(A2,'Stato patrimoniale'!A:A,0))</f>
        <v>18</v>
      </c>
      <c r="H2">
        <f>IF(E2="O",G2*INDEX('Stato patrimoniale'!AJ:AJ,MATCH(A2,'Stato patrimoniale'!A:A,0))/100,G2*INDEX('Stato patrimoniale'!AJ:AJ,MATCH(A2,'Stato patrimoniale'!A:A,0)))</f>
        <v>164.34</v>
      </c>
      <c r="I2">
        <f>INDEX('Stato patrimoniale'!AM:AM,MATCH(A2,'Stato patrimoniale'!A:A,0))</f>
        <v>1</v>
      </c>
      <c r="J2">
        <f>INDEX('Stato patrimoniale'!AL:AL,MATCH(A2,'Stato patrimoniale'!A:A,0))</f>
        <v>2.95</v>
      </c>
      <c r="K2">
        <f>IF(INDEX('Stato patrimoniale'!AS:AS,MATCH(A2,'Stato patrimoniale'!A:A,0))&gt;0,INDEX('Stato patrimoniale'!AS:AS,MATCH(A2,'Stato patrimoniale'!A:A,0)),0)</f>
        <v>0</v>
      </c>
      <c r="L2" s="91">
        <f>INDEX('Stato patrimoniale'!AG:AG,MATCH(A2,'Stato patrimoniale'!A:A,0))</f>
        <v>45531</v>
      </c>
      <c r="M2" t="s">
        <v>581</v>
      </c>
      <c r="N2" t="str">
        <f>INDEX('Stato patrimoniale'!Q:Q,MATCH(A2,'Stato patrimoniale'!A:A,0))</f>
        <v>Fineco-C</v>
      </c>
      <c r="O2" t="str">
        <f>N2</f>
        <v>Fineco-C</v>
      </c>
    </row>
    <row r="3" spans="1:15" x14ac:dyDescent="0.25">
      <c r="A3">
        <v>14</v>
      </c>
      <c r="B3" t="str">
        <f>IF(INDEX('Stato patrimoniale'!L:L,MATCH(A3,'Stato patrimoniale'!A:A,0))&lt;&gt;0,INDEX('Stato patrimoniale'!L:L,MATCH(A3,'Stato patrimoniale'!A:A,0)),"")</f>
        <v>UCG.MI</v>
      </c>
      <c r="C3" t="str">
        <f>INDEX('Stato patrimoniale'!K:K,MATCH(A3,'Stato patrimoniale'!A:A,0))</f>
        <v>IT0005239360</v>
      </c>
      <c r="D3" t="str">
        <f>INDEX('Stato patrimoniale'!C:C,MATCH(A3,'Stato patrimoniale'!A:A,0))</f>
        <v>Unicredit</v>
      </c>
      <c r="E3" t="str">
        <f>INDEX('Stato patrimoniale'!D:D,MATCH(A3,'Stato patrimoniale'!A:A,0))</f>
        <v>A</v>
      </c>
      <c r="F3" t="str">
        <f>INDEX('Stato patrimoniale'!J:J,MATCH(A3,'Stato patrimoniale'!A:A,0))</f>
        <v>EUR</v>
      </c>
      <c r="G3">
        <f>INDEX('Stato patrimoniale'!I:I,MATCH(A3,'Stato patrimoniale'!A:A,0))</f>
        <v>11</v>
      </c>
      <c r="H3">
        <f>IF(E3="O",G3*INDEX('Stato patrimoniale'!AJ:AJ,MATCH(A3,'Stato patrimoniale'!A:A,0))/100,G3*INDEX('Stato patrimoniale'!AJ:AJ,MATCH(A3,'Stato patrimoniale'!A:A,0)))</f>
        <v>495</v>
      </c>
      <c r="I3">
        <f>INDEX('Stato patrimoniale'!AM:AM,MATCH(A3,'Stato patrimoniale'!A:A,0))</f>
        <v>1</v>
      </c>
      <c r="J3">
        <f>INDEX('Stato patrimoniale'!AL:AL,MATCH(A3,'Stato patrimoniale'!A:A,0))</f>
        <v>2.95</v>
      </c>
      <c r="K3">
        <f>IF(INDEX('Stato patrimoniale'!AS:AS,MATCH(A3,'Stato patrimoniale'!A:A,0))&gt;0,INDEX('Stato patrimoniale'!AS:AS,MATCH(A3,'Stato patrimoniale'!A:A,0)),0)</f>
        <v>63.817520000000023</v>
      </c>
      <c r="L3" s="91">
        <f>INDEX('Stato patrimoniale'!AG:AG,MATCH(A3,'Stato patrimoniale'!A:A,0))</f>
        <v>45691</v>
      </c>
      <c r="M3" t="s">
        <v>581</v>
      </c>
      <c r="N3" t="str">
        <f>INDEX('Stato patrimoniale'!Q:Q,MATCH(A3,'Stato patrimoniale'!A:A,0))</f>
        <v>Fineco-C</v>
      </c>
      <c r="O3" t="str">
        <f t="shared" ref="O3:O9" si="0">N3</f>
        <v>Fineco-C</v>
      </c>
    </row>
    <row r="4" spans="1:15" x14ac:dyDescent="0.25">
      <c r="A4">
        <v>15</v>
      </c>
      <c r="B4" t="str">
        <f>IF(INDEX('Stato patrimoniale'!L:L,MATCH(A4,'Stato patrimoniale'!A:A,0))&lt;&gt;0,INDEX('Stato patrimoniale'!L:L,MATCH(A4,'Stato patrimoniale'!A:A,0)),"")</f>
        <v>PST.MI</v>
      </c>
      <c r="C4" t="str">
        <f>INDEX('Stato patrimoniale'!K:K,MATCH(A4,'Stato patrimoniale'!A:A,0))</f>
        <v>IT0003796171</v>
      </c>
      <c r="D4" t="str">
        <f>INDEX('Stato patrimoniale'!C:C,MATCH(A4,'Stato patrimoniale'!A:A,0))</f>
        <v>Poste Italiane</v>
      </c>
      <c r="E4" t="str">
        <f>INDEX('Stato patrimoniale'!D:D,MATCH(A4,'Stato patrimoniale'!A:A,0))</f>
        <v>A</v>
      </c>
      <c r="F4" t="str">
        <f>INDEX('Stato patrimoniale'!J:J,MATCH(A4,'Stato patrimoniale'!A:A,0))</f>
        <v>EUR</v>
      </c>
      <c r="G4">
        <f>INDEX('Stato patrimoniale'!I:I,MATCH(A4,'Stato patrimoniale'!A:A,0))</f>
        <v>25</v>
      </c>
      <c r="H4">
        <f>IF(E4="O",G4*INDEX('Stato patrimoniale'!AJ:AJ,MATCH(A4,'Stato patrimoniale'!A:A,0))/100,G4*INDEX('Stato patrimoniale'!AJ:AJ,MATCH(A4,'Stato patrimoniale'!A:A,0)))</f>
        <v>514</v>
      </c>
      <c r="I4">
        <f>INDEX('Stato patrimoniale'!AM:AM,MATCH(A4,'Stato patrimoniale'!A:A,0))</f>
        <v>1</v>
      </c>
      <c r="J4">
        <f>INDEX('Stato patrimoniale'!AL:AL,MATCH(A4,'Stato patrimoniale'!A:A,0))</f>
        <v>2.95</v>
      </c>
      <c r="K4">
        <f>IF(INDEX('Stato patrimoniale'!AS:AS,MATCH(A4,'Stato patrimoniale'!A:A,0))&gt;0,INDEX('Stato patrimoniale'!AS:AS,MATCH(A4,'Stato patrimoniale'!A:A,0)),0)</f>
        <v>66.066000000000003</v>
      </c>
      <c r="L4" s="91">
        <f>INDEX('Stato patrimoniale'!AG:AG,MATCH(A4,'Stato patrimoniale'!A:A,0))</f>
        <v>45992</v>
      </c>
      <c r="M4" t="s">
        <v>581</v>
      </c>
      <c r="N4" t="str">
        <f>INDEX('Stato patrimoniale'!Q:Q,MATCH(A4,'Stato patrimoniale'!A:A,0))</f>
        <v>Fineco-C</v>
      </c>
      <c r="O4" t="str">
        <f t="shared" si="0"/>
        <v>Fineco-C</v>
      </c>
    </row>
    <row r="5" spans="1:15" x14ac:dyDescent="0.25">
      <c r="A5">
        <v>16</v>
      </c>
      <c r="B5" t="str">
        <f>IF(INDEX('Stato patrimoniale'!L:L,MATCH(A5,'Stato patrimoniale'!A:A,0))&lt;&gt;0,INDEX('Stato patrimoniale'!L:L,MATCH(A5,'Stato patrimoniale'!A:A,0)),"")</f>
        <v>STMMI.MI</v>
      </c>
      <c r="C5" t="str">
        <f>INDEX('Stato patrimoniale'!K:K,MATCH(A5,'Stato patrimoniale'!A:A,0))</f>
        <v>NL0000226223</v>
      </c>
      <c r="D5" t="str">
        <f>INDEX('Stato patrimoniale'!C:C,MATCH(A5,'Stato patrimoniale'!A:A,0))</f>
        <v>STMicroElectronics</v>
      </c>
      <c r="E5" t="str">
        <f>INDEX('Stato patrimoniale'!D:D,MATCH(A5,'Stato patrimoniale'!A:A,0))</f>
        <v>A</v>
      </c>
      <c r="F5" t="str">
        <f>INDEX('Stato patrimoniale'!J:J,MATCH(A5,'Stato patrimoniale'!A:A,0))</f>
        <v>EUR</v>
      </c>
      <c r="G5">
        <f>INDEX('Stato patrimoniale'!I:I,MATCH(A5,'Stato patrimoniale'!A:A,0))</f>
        <v>5</v>
      </c>
      <c r="H5">
        <f>IF(E5="O",G5*INDEX('Stato patrimoniale'!AJ:AJ,MATCH(A5,'Stato patrimoniale'!A:A,0))/100,G5*INDEX('Stato patrimoniale'!AJ:AJ,MATCH(A5,'Stato patrimoniale'!A:A,0)))</f>
        <v>139</v>
      </c>
      <c r="I5">
        <f>INDEX('Stato patrimoniale'!AM:AM,MATCH(A5,'Stato patrimoniale'!A:A,0))</f>
        <v>1</v>
      </c>
      <c r="J5">
        <f>INDEX('Stato patrimoniale'!AL:AL,MATCH(A5,'Stato patrimoniale'!A:A,0))</f>
        <v>2.95</v>
      </c>
      <c r="K5">
        <f>IF(INDEX('Stato patrimoniale'!AS:AS,MATCH(A5,'Stato patrimoniale'!A:A,0))&gt;0,INDEX('Stato patrimoniale'!AS:AS,MATCH(A5,'Stato patrimoniale'!A:A,0)),0)</f>
        <v>0</v>
      </c>
      <c r="L5" s="91">
        <f>INDEX('Stato patrimoniale'!AG:AG,MATCH(A5,'Stato patrimoniale'!A:A,0))</f>
        <v>45531</v>
      </c>
      <c r="M5" t="s">
        <v>581</v>
      </c>
      <c r="N5" t="str">
        <f>INDEX('Stato patrimoniale'!Q:Q,MATCH(A5,'Stato patrimoniale'!A:A,0))</f>
        <v>Fineco-C</v>
      </c>
      <c r="O5" t="str">
        <f t="shared" si="0"/>
        <v>Fineco-C</v>
      </c>
    </row>
    <row r="6" spans="1:15" x14ac:dyDescent="0.25">
      <c r="A6">
        <v>17</v>
      </c>
      <c r="B6" t="str">
        <f>IF(INDEX('Stato patrimoniale'!L:L,MATCH(A6,'Stato patrimoniale'!A:A,0))&lt;&gt;0,INDEX('Stato patrimoniale'!L:L,MATCH(A6,'Stato patrimoniale'!A:A,0)),"")</f>
        <v>ISP.MI</v>
      </c>
      <c r="C6" t="str">
        <f>INDEX('Stato patrimoniale'!K:K,MATCH(A6,'Stato patrimoniale'!A:A,0))</f>
        <v>IT0000072618</v>
      </c>
      <c r="D6" t="str">
        <f>INDEX('Stato patrimoniale'!C:C,MATCH(A6,'Stato patrimoniale'!A:A,0))</f>
        <v>Intesa San Paolo</v>
      </c>
      <c r="E6" t="str">
        <f>INDEX('Stato patrimoniale'!D:D,MATCH(A6,'Stato patrimoniale'!A:A,0))</f>
        <v>A</v>
      </c>
      <c r="F6" t="str">
        <f>INDEX('Stato patrimoniale'!J:J,MATCH(A6,'Stato patrimoniale'!A:A,0))</f>
        <v>EUR</v>
      </c>
      <c r="G6">
        <f>INDEX('Stato patrimoniale'!I:I,MATCH(A6,'Stato patrimoniale'!A:A,0))</f>
        <v>100</v>
      </c>
      <c r="H6">
        <f>IF(E6="O",G6*INDEX('Stato patrimoniale'!AJ:AJ,MATCH(A6,'Stato patrimoniale'!A:A,0))/100,G6*INDEX('Stato patrimoniale'!AJ:AJ,MATCH(A6,'Stato patrimoniale'!A:A,0)))</f>
        <v>510.9</v>
      </c>
      <c r="I6">
        <f>INDEX('Stato patrimoniale'!AM:AM,MATCH(A6,'Stato patrimoniale'!A:A,0))</f>
        <v>1</v>
      </c>
      <c r="J6">
        <f>INDEX('Stato patrimoniale'!AL:AL,MATCH(A6,'Stato patrimoniale'!A:A,0))</f>
        <v>2.95</v>
      </c>
      <c r="K6">
        <f>IF(INDEX('Stato patrimoniale'!AS:AS,MATCH(A6,'Stato patrimoniale'!A:A,0))&gt;0,INDEX('Stato patrimoniale'!AS:AS,MATCH(A6,'Stato patrimoniale'!A:A,0)),0)</f>
        <v>65.649999999999991</v>
      </c>
      <c r="L6" s="91">
        <f>INDEX('Stato patrimoniale'!AG:AG,MATCH(A6,'Stato patrimoniale'!A:A,0))</f>
        <v>45862</v>
      </c>
      <c r="M6" t="s">
        <v>581</v>
      </c>
      <c r="N6" t="str">
        <f>INDEX('Stato patrimoniale'!Q:Q,MATCH(A6,'Stato patrimoniale'!A:A,0))</f>
        <v>Fineco-C</v>
      </c>
      <c r="O6" t="str">
        <f t="shared" si="0"/>
        <v>Fineco-C</v>
      </c>
    </row>
    <row r="7" spans="1:15" x14ac:dyDescent="0.25">
      <c r="A7">
        <v>18</v>
      </c>
      <c r="B7" t="str">
        <f>IF(INDEX('Stato patrimoniale'!L:L,MATCH(A7,'Stato patrimoniale'!A:A,0))&lt;&gt;0,INDEX('Stato patrimoniale'!L:L,MATCH(A7,'Stato patrimoniale'!A:A,0)),"")</f>
        <v>LDO.MI</v>
      </c>
      <c r="C7" t="str">
        <f>INDEX('Stato patrimoniale'!K:K,MATCH(A7,'Stato patrimoniale'!A:A,0))</f>
        <v>IT0003856405</v>
      </c>
      <c r="D7" t="str">
        <f>INDEX('Stato patrimoniale'!C:C,MATCH(A7,'Stato patrimoniale'!A:A,0))</f>
        <v>Leonardo</v>
      </c>
      <c r="E7" t="str">
        <f>INDEX('Stato patrimoniale'!D:D,MATCH(A7,'Stato patrimoniale'!A:A,0))</f>
        <v>A</v>
      </c>
      <c r="F7" t="str">
        <f>INDEX('Stato patrimoniale'!J:J,MATCH(A7,'Stato patrimoniale'!A:A,0))</f>
        <v>EUR</v>
      </c>
      <c r="G7">
        <f>INDEX('Stato patrimoniale'!I:I,MATCH(A7,'Stato patrimoniale'!A:A,0))</f>
        <v>21</v>
      </c>
      <c r="H7">
        <f>IF(E7="O",G7*INDEX('Stato patrimoniale'!AJ:AJ,MATCH(A7,'Stato patrimoniale'!A:A,0))/100,G7*INDEX('Stato patrimoniale'!AJ:AJ,MATCH(A7,'Stato patrimoniale'!A:A,0)))</f>
        <v>502.95</v>
      </c>
      <c r="I7">
        <f>INDEX('Stato patrimoniale'!AM:AM,MATCH(A7,'Stato patrimoniale'!A:A,0))</f>
        <v>1</v>
      </c>
      <c r="J7">
        <f>INDEX('Stato patrimoniale'!AL:AL,MATCH(A7,'Stato patrimoniale'!A:A,0))</f>
        <v>2.95</v>
      </c>
      <c r="K7">
        <f>IF(INDEX('Stato patrimoniale'!AS:AS,MATCH(A7,'Stato patrimoniale'!A:A,0))&gt;0,INDEX('Stato patrimoniale'!AS:AS,MATCH(A7,'Stato patrimoniale'!A:A,0)),0)</f>
        <v>66.445599999999999</v>
      </c>
      <c r="L7" s="91">
        <f>INDEX('Stato patrimoniale'!AG:AG,MATCH(A7,'Stato patrimoniale'!A:A,0))</f>
        <v>45446</v>
      </c>
      <c r="M7" t="s">
        <v>581</v>
      </c>
      <c r="N7" t="str">
        <f>INDEX('Stato patrimoniale'!Q:Q,MATCH(A7,'Stato patrimoniale'!A:A,0))</f>
        <v>Fineco-C</v>
      </c>
      <c r="O7" t="str">
        <f t="shared" si="0"/>
        <v>Fineco-C</v>
      </c>
    </row>
    <row r="8" spans="1:15" x14ac:dyDescent="0.25">
      <c r="A8">
        <v>22</v>
      </c>
      <c r="B8" t="str">
        <f>IF(INDEX('Stato patrimoniale'!L:L,MATCH(A8,'Stato patrimoniale'!A:A,0))&lt;&gt;0,INDEX('Stato patrimoniale'!L:L,MATCH(A8,'Stato patrimoniale'!A:A,0)),"")</f>
        <v>AMZN</v>
      </c>
      <c r="C8" t="str">
        <f>INDEX('Stato patrimoniale'!K:K,MATCH(A8,'Stato patrimoniale'!A:A,0))</f>
        <v>US0231351067</v>
      </c>
      <c r="D8" t="str">
        <f>INDEX('Stato patrimoniale'!C:C,MATCH(A8,'Stato patrimoniale'!A:A,0))</f>
        <v>Amazon</v>
      </c>
      <c r="E8" t="str">
        <f>INDEX('Stato patrimoniale'!D:D,MATCH(A8,'Stato patrimoniale'!A:A,0))</f>
        <v>A</v>
      </c>
      <c r="F8" t="str">
        <f>INDEX('Stato patrimoniale'!J:J,MATCH(A8,'Stato patrimoniale'!A:A,0))</f>
        <v>USD</v>
      </c>
      <c r="G8">
        <f>INDEX('Stato patrimoniale'!I:I,MATCH(A8,'Stato patrimoniale'!A:A,0))</f>
        <v>2</v>
      </c>
      <c r="H8">
        <f>IF(E8="O",G8*INDEX('Stato patrimoniale'!AJ:AJ,MATCH(A8,'Stato patrimoniale'!A:A,0))/100,G8*INDEX('Stato patrimoniale'!AJ:AJ,MATCH(A8,'Stato patrimoniale'!A:A,0)))</f>
        <v>457.05079999999998</v>
      </c>
      <c r="I8">
        <f>INDEX('Stato patrimoniale'!AM:AM,MATCH(A8,'Stato patrimoniale'!A:A,0))</f>
        <v>0.85719999999999996</v>
      </c>
      <c r="J8">
        <f>INDEX('Stato patrimoniale'!AL:AL,MATCH(A8,'Stato patrimoniale'!A:A,0))</f>
        <v>10</v>
      </c>
      <c r="K8">
        <f>IF(INDEX('Stato patrimoniale'!AS:AS,MATCH(A8,'Stato patrimoniale'!A:A,0))&gt;0,INDEX('Stato patrimoniale'!AS:AS,MATCH(A8,'Stato patrimoniale'!A:A,0)),0)</f>
        <v>43.011563273385207</v>
      </c>
      <c r="L8" s="91">
        <f>INDEX('Stato patrimoniale'!AG:AG,MATCH(A8,'Stato patrimoniale'!A:A,0))</f>
        <v>45992</v>
      </c>
      <c r="M8" t="s">
        <v>581</v>
      </c>
      <c r="N8" t="str">
        <f>INDEX('Stato patrimoniale'!Q:Q,MATCH(A8,'Stato patrimoniale'!A:A,0))</f>
        <v>Fineco-C</v>
      </c>
      <c r="O8" t="str">
        <f t="shared" si="0"/>
        <v>Fineco-C</v>
      </c>
    </row>
    <row r="9" spans="1:15" x14ac:dyDescent="0.25">
      <c r="A9">
        <v>32</v>
      </c>
      <c r="B9" t="str">
        <f>IF(INDEX('Stato patrimoniale'!L:L,MATCH(A9,'Stato patrimoniale'!A:A,0))&lt;&gt;0,INDEX('Stato patrimoniale'!L:L,MATCH(A9,'Stato patrimoniale'!A:A,0)),"")</f>
        <v>MSFT</v>
      </c>
      <c r="C9" t="str">
        <f>INDEX('Stato patrimoniale'!K:K,MATCH(A9,'Stato patrimoniale'!A:A,0))</f>
        <v>US5949181045</v>
      </c>
      <c r="D9" t="str">
        <f>INDEX('Stato patrimoniale'!C:C,MATCH(A9,'Stato patrimoniale'!A:A,0))</f>
        <v>Microsoft</v>
      </c>
      <c r="E9" t="str">
        <f>INDEX('Stato patrimoniale'!D:D,MATCH(A9,'Stato patrimoniale'!A:A,0))</f>
        <v>A</v>
      </c>
      <c r="F9" t="str">
        <f>INDEX('Stato patrimoniale'!J:J,MATCH(A9,'Stato patrimoniale'!A:A,0))</f>
        <v>USD</v>
      </c>
      <c r="G9">
        <f>INDEX('Stato patrimoniale'!I:I,MATCH(A9,'Stato patrimoniale'!A:A,0))</f>
        <v>10</v>
      </c>
      <c r="H9">
        <f>IF(E9="O",G9*INDEX('Stato patrimoniale'!AJ:AJ,MATCH(A9,'Stato patrimoniale'!A:A,0))/100,G9*INDEX('Stato patrimoniale'!AJ:AJ,MATCH(A9,'Stato patrimoniale'!A:A,0)))</f>
        <v>3787</v>
      </c>
      <c r="I9">
        <f>INDEX('Stato patrimoniale'!AM:AM,MATCH(A9,'Stato patrimoniale'!A:A,0))</f>
        <v>0.91159999999999997</v>
      </c>
      <c r="J9">
        <f>INDEX('Stato patrimoniale'!AL:AL,MATCH(A9,'Stato patrimoniale'!A:A,0))</f>
        <v>23.53</v>
      </c>
      <c r="K9">
        <f>IF(INDEX('Stato patrimoniale'!AS:AS,MATCH(A9,'Stato patrimoniale'!A:A,0))&gt;0,INDEX('Stato patrimoniale'!AS:AS,MATCH(A9,'Stato patrimoniale'!A:A,0)),0)</f>
        <v>441.73460551999995</v>
      </c>
      <c r="L9" s="91">
        <f>INDEX('Stato patrimoniale'!AG:AG,MATCH(A9,'Stato patrimoniale'!A:A,0))</f>
        <v>45301</v>
      </c>
      <c r="M9" t="s">
        <v>581</v>
      </c>
      <c r="N9" t="str">
        <f>INDEX('Stato patrimoniale'!Q:Q,MATCH(A9,'Stato patrimoniale'!A:A,0))</f>
        <v>Fineco-C</v>
      </c>
      <c r="O9" t="str">
        <f t="shared" si="0"/>
        <v>Fineco-C</v>
      </c>
    </row>
    <row r="10" spans="1:15" x14ac:dyDescent="0.25">
      <c r="A10">
        <v>54</v>
      </c>
      <c r="B10" t="str">
        <f>IF(INDEX('Stato patrimoniale'!L:L,MATCH(A10,'Stato patrimoniale'!A:A,0))&lt;&gt;0,INDEX('Stato patrimoniale'!L:L,MATCH(A10,'Stato patrimoniale'!A:A,0)),"")</f>
        <v>MSFT</v>
      </c>
      <c r="C10" t="str">
        <f>INDEX('Stato patrimoniale'!K:K,MATCH(A10,'Stato patrimoniale'!A:A,0))</f>
        <v>US5949181045</v>
      </c>
      <c r="D10" t="str">
        <f>INDEX('Stato patrimoniale'!C:C,MATCH(A10,'Stato patrimoniale'!A:A,0))</f>
        <v>Microsoft</v>
      </c>
      <c r="E10" t="str">
        <f>INDEX('Stato patrimoniale'!D:D,MATCH(A10,'Stato patrimoniale'!A:A,0))</f>
        <v>A</v>
      </c>
      <c r="F10" t="str">
        <f>INDEX('Stato patrimoniale'!J:J,MATCH(A10,'Stato patrimoniale'!A:A,0))</f>
        <v>USD</v>
      </c>
      <c r="G10">
        <f>INDEX('Stato patrimoniale'!I:I,MATCH(A10,'Stato patrimoniale'!A:A,0))</f>
        <v>10</v>
      </c>
      <c r="H10">
        <f>IF(E10="O",G10*INDEX('Stato patrimoniale'!AJ:AJ,MATCH(A10,'Stato patrimoniale'!A:A,0))/100,G10*INDEX('Stato patrimoniale'!AJ:AJ,MATCH(A10,'Stato patrimoniale'!A:A,0)))</f>
        <v>4546</v>
      </c>
      <c r="I10">
        <f>INDEX('Stato patrimoniale'!AM:AM,MATCH(A10,'Stato patrimoniale'!A:A,0))</f>
        <v>0.95530000000000004</v>
      </c>
      <c r="J10">
        <f>INDEX('Stato patrimoniale'!AL:AL,MATCH(A10,'Stato patrimoniale'!A:A,0))</f>
        <v>27.28</v>
      </c>
      <c r="K10">
        <f>IF(INDEX('Stato patrimoniale'!AS:AS,MATCH(A10,'Stato patrimoniale'!A:A,0))&gt;0,INDEX('Stato patrimoniale'!AS:AS,MATCH(A10,'Stato patrimoniale'!A:A,0)),0)</f>
        <v>431.55263616000013</v>
      </c>
      <c r="L10" s="91">
        <f>INDEX('Stato patrimoniale'!AG:AG,MATCH(A10,'Stato patrimoniale'!A:A,0))</f>
        <v>45638</v>
      </c>
      <c r="M10" t="s">
        <v>581</v>
      </c>
      <c r="N10" t="str">
        <f>INDEX('Stato patrimoniale'!Q:Q,MATCH(A10,'Stato patrimoniale'!A:A,0))</f>
        <v>Fineco-C</v>
      </c>
      <c r="O10" t="str">
        <f t="shared" ref="O10:O20" si="1">N10</f>
        <v>Fineco-C</v>
      </c>
    </row>
    <row r="11" spans="1:15" x14ac:dyDescent="0.25">
      <c r="A11">
        <v>3</v>
      </c>
      <c r="B11" t="str">
        <f>IF(INDEX('Stato patrimoniale'!L:L,MATCH(A11,'Stato patrimoniale'!A:A,0))&lt;&gt;0,INDEX('Stato patrimoniale'!L:L,MATCH(A11,'Stato patrimoniale'!A:A,0)),"")</f>
        <v>VFEM.MI</v>
      </c>
      <c r="C11" t="str">
        <f>INDEX('Stato patrimoniale'!K:K,MATCH(A11,'Stato patrimoniale'!A:A,0))</f>
        <v>IE00B3VVMM84</v>
      </c>
      <c r="D11" t="str">
        <f>INDEX('Stato patrimoniale'!C:C,MATCH(A11,'Stato patrimoniale'!A:A,0))</f>
        <v>Vanguard FTSE Emerging Markets UCITS ETF (USD) Dis</v>
      </c>
      <c r="E11" t="str">
        <f>INDEX('Stato patrimoniale'!D:D,MATCH(A11,'Stato patrimoniale'!A:A,0))</f>
        <v>ETF</v>
      </c>
      <c r="F11" t="str">
        <f>INDEX('Stato patrimoniale'!J:J,MATCH(A11,'Stato patrimoniale'!A:A,0))</f>
        <v>EUR</v>
      </c>
      <c r="G11">
        <f>INDEX('Stato patrimoniale'!I:I,MATCH(A11,'Stato patrimoniale'!A:A,0))</f>
        <v>10</v>
      </c>
      <c r="H11">
        <f>IF(E11="O",G11*INDEX('Stato patrimoniale'!AJ:AJ,MATCH(A11,'Stato patrimoniale'!A:A,0))/100,G11*INDEX('Stato patrimoniale'!AJ:AJ,MATCH(A11,'Stato patrimoniale'!A:A,0)))</f>
        <v>639.6</v>
      </c>
      <c r="I11">
        <f>INDEX('Stato patrimoniale'!AM:AM,MATCH(A11,'Stato patrimoniale'!A:A,0))</f>
        <v>1</v>
      </c>
      <c r="J11">
        <f>INDEX('Stato patrimoniale'!AL:AL,MATCH(A11,'Stato patrimoniale'!A:A,0))</f>
        <v>2.95</v>
      </c>
      <c r="K11">
        <f>IF(INDEX('Stato patrimoniale'!AS:AS,MATCH(A11,'Stato patrimoniale'!A:A,0))&gt;0,INDEX('Stato patrimoniale'!AS:AS,MATCH(A11,'Stato patrimoniale'!A:A,0)),0)</f>
        <v>31.355999999999973</v>
      </c>
      <c r="L11" s="91">
        <f>INDEX('Stato patrimoniale'!AG:AG,MATCH(A11,'Stato patrimoniale'!A:A,0))</f>
        <v>45992</v>
      </c>
      <c r="M11" t="s">
        <v>581</v>
      </c>
      <c r="N11" t="str">
        <f>INDEX('Stato patrimoniale'!Q:Q,MATCH(A11,'Stato patrimoniale'!A:A,0))</f>
        <v>Fineco-C</v>
      </c>
      <c r="O11" t="str">
        <f t="shared" si="1"/>
        <v>Fineco-C</v>
      </c>
    </row>
    <row r="12" spans="1:15" x14ac:dyDescent="0.25">
      <c r="A12">
        <v>4</v>
      </c>
      <c r="B12" t="str">
        <f>IF(INDEX('Stato patrimoniale'!L:L,MATCH(A12,'Stato patrimoniale'!A:A,0))&lt;&gt;0,INDEX('Stato patrimoniale'!L:L,MATCH(A12,'Stato patrimoniale'!A:A,0)),"")</f>
        <v>INRG.MI</v>
      </c>
      <c r="C12" t="str">
        <f>INDEX('Stato patrimoniale'!K:K,MATCH(A12,'Stato patrimoniale'!A:A,0))</f>
        <v>IE00B1XNHC34</v>
      </c>
      <c r="D12" t="str">
        <f>INDEX('Stato patrimoniale'!C:C,MATCH(A12,'Stato patrimoniale'!A:A,0))</f>
        <v>iShares Global Clean Energy UCITS ETF USD (Dist)</v>
      </c>
      <c r="E12" t="str">
        <f>INDEX('Stato patrimoniale'!D:D,MATCH(A12,'Stato patrimoniale'!A:A,0))</f>
        <v>ETF</v>
      </c>
      <c r="F12" t="str">
        <f>INDEX('Stato patrimoniale'!J:J,MATCH(A12,'Stato patrimoniale'!A:A,0))</f>
        <v>EUR</v>
      </c>
      <c r="G12">
        <f>INDEX('Stato patrimoniale'!I:I,MATCH(A12,'Stato patrimoniale'!A:A,0))</f>
        <v>50</v>
      </c>
      <c r="H12">
        <f>IF(E12="O",G12*INDEX('Stato patrimoniale'!AJ:AJ,MATCH(A12,'Stato patrimoniale'!A:A,0))/100,G12*INDEX('Stato patrimoniale'!AJ:AJ,MATCH(A12,'Stato patrimoniale'!A:A,0)))</f>
        <v>371.70600000000002</v>
      </c>
      <c r="I12">
        <f>INDEX('Stato patrimoniale'!AM:AM,MATCH(A12,'Stato patrimoniale'!A:A,0))</f>
        <v>1</v>
      </c>
      <c r="J12">
        <f>INDEX('Stato patrimoniale'!AL:AL,MATCH(A12,'Stato patrimoniale'!A:A,0))</f>
        <v>2.95</v>
      </c>
      <c r="K12">
        <f>IF(INDEX('Stato patrimoniale'!AS:AS,MATCH(A12,'Stato patrimoniale'!A:A,0))&gt;0,INDEX('Stato patrimoniale'!AS:AS,MATCH(A12,'Stato patrimoniale'!A:A,0)),0)</f>
        <v>0</v>
      </c>
      <c r="L12" s="91">
        <f>INDEX('Stato patrimoniale'!AG:AG,MATCH(A12,'Stato patrimoniale'!A:A,0))</f>
        <v>45531</v>
      </c>
      <c r="M12" t="s">
        <v>581</v>
      </c>
      <c r="N12" t="str">
        <f>INDEX('Stato patrimoniale'!Q:Q,MATCH(A12,'Stato patrimoniale'!A:A,0))</f>
        <v>Fineco-C</v>
      </c>
      <c r="O12" t="str">
        <f t="shared" si="1"/>
        <v>Fineco-C</v>
      </c>
    </row>
    <row r="13" spans="1:15" x14ac:dyDescent="0.25">
      <c r="A13">
        <v>5</v>
      </c>
      <c r="B13" t="str">
        <f>IF(INDEX('Stato patrimoniale'!L:L,MATCH(A13,'Stato patrimoniale'!A:A,0))&lt;&gt;0,INDEX('Stato patrimoniale'!L:L,MATCH(A13,'Stato patrimoniale'!A:A,0)),"")</f>
        <v>IUSA.MI</v>
      </c>
      <c r="C13" t="str">
        <f>INDEX('Stato patrimoniale'!K:K,MATCH(A13,'Stato patrimoniale'!A:A,0))</f>
        <v>IE0031442068</v>
      </c>
      <c r="D13" t="str">
        <f>INDEX('Stato patrimoniale'!C:C,MATCH(A13,'Stato patrimoniale'!A:A,0))</f>
        <v>iShares Core S&amp;P 500 UCITS ETF USD (Dist)</v>
      </c>
      <c r="E13" t="str">
        <f>INDEX('Stato patrimoniale'!D:D,MATCH(A13,'Stato patrimoniale'!A:A,0))</f>
        <v>ETF</v>
      </c>
      <c r="F13" t="str">
        <f>INDEX('Stato patrimoniale'!J:J,MATCH(A13,'Stato patrimoniale'!A:A,0))</f>
        <v>EUR</v>
      </c>
      <c r="G13">
        <f>INDEX('Stato patrimoniale'!I:I,MATCH(A13,'Stato patrimoniale'!A:A,0))</f>
        <v>10</v>
      </c>
      <c r="H13">
        <f>IF(E13="O",G13*INDEX('Stato patrimoniale'!AJ:AJ,MATCH(A13,'Stato patrimoniale'!A:A,0))/100,G13*INDEX('Stato patrimoniale'!AJ:AJ,MATCH(A13,'Stato patrimoniale'!A:A,0)))</f>
        <v>585.1</v>
      </c>
      <c r="I13">
        <f>INDEX('Stato patrimoniale'!AM:AM,MATCH(A13,'Stato patrimoniale'!A:A,0))</f>
        <v>1</v>
      </c>
      <c r="J13">
        <f>INDEX('Stato patrimoniale'!AL:AL,MATCH(A13,'Stato patrimoniale'!A:A,0))</f>
        <v>2.95</v>
      </c>
      <c r="K13">
        <f>IF(INDEX('Stato patrimoniale'!AS:AS,MATCH(A13,'Stato patrimoniale'!A:A,0))&gt;0,INDEX('Stato patrimoniale'!AS:AS,MATCH(A13,'Stato patrimoniale'!A:A,0)),0)</f>
        <v>44.953999999999986</v>
      </c>
      <c r="L13" s="91">
        <f>INDEX('Stato patrimoniale'!AG:AG,MATCH(A13,'Stato patrimoniale'!A:A,0))</f>
        <v>45992</v>
      </c>
      <c r="M13" t="s">
        <v>581</v>
      </c>
      <c r="N13" t="str">
        <f>INDEX('Stato patrimoniale'!Q:Q,MATCH(A13,'Stato patrimoniale'!A:A,0))</f>
        <v>Fineco-C</v>
      </c>
      <c r="O13" t="str">
        <f t="shared" si="1"/>
        <v>Fineco-C</v>
      </c>
    </row>
    <row r="14" spans="1:15" x14ac:dyDescent="0.25">
      <c r="A14">
        <v>6</v>
      </c>
      <c r="B14" t="str">
        <f>IF(INDEX('Stato patrimoniale'!L:L,MATCH(A14,'Stato patrimoniale'!A:A,0))&lt;&gt;0,INDEX('Stato patrimoniale'!L:L,MATCH(A14,'Stato patrimoniale'!A:A,0)),"")</f>
        <v>IUSA.MI</v>
      </c>
      <c r="C14" t="str">
        <f>INDEX('Stato patrimoniale'!K:K,MATCH(A14,'Stato patrimoniale'!A:A,0))</f>
        <v>IE0031442068</v>
      </c>
      <c r="D14" t="str">
        <f>INDEX('Stato patrimoniale'!C:C,MATCH(A14,'Stato patrimoniale'!A:A,0))</f>
        <v>iShares Core S&amp;P 500 UCITS ETF USD (Dist)</v>
      </c>
      <c r="E14" t="str">
        <f>INDEX('Stato patrimoniale'!D:D,MATCH(A14,'Stato patrimoniale'!A:A,0))</f>
        <v>ETF</v>
      </c>
      <c r="F14" t="str">
        <f>INDEX('Stato patrimoniale'!J:J,MATCH(A14,'Stato patrimoniale'!A:A,0))</f>
        <v>EUR</v>
      </c>
      <c r="G14">
        <f>INDEX('Stato patrimoniale'!I:I,MATCH(A14,'Stato patrimoniale'!A:A,0))</f>
        <v>15</v>
      </c>
      <c r="H14">
        <f>IF(E14="O",G14*INDEX('Stato patrimoniale'!AJ:AJ,MATCH(A14,'Stato patrimoniale'!A:A,0))/100,G14*INDEX('Stato patrimoniale'!AJ:AJ,MATCH(A14,'Stato patrimoniale'!A:A,0)))</f>
        <v>877.65</v>
      </c>
      <c r="I14">
        <f>INDEX('Stato patrimoniale'!AM:AM,MATCH(A14,'Stato patrimoniale'!A:A,0))</f>
        <v>1</v>
      </c>
      <c r="J14">
        <f>INDEX('Stato patrimoniale'!AL:AL,MATCH(A14,'Stato patrimoniale'!A:A,0))</f>
        <v>2.95</v>
      </c>
      <c r="K14">
        <f>IF(INDEX('Stato patrimoniale'!AS:AS,MATCH(A14,'Stato patrimoniale'!A:A,0))&gt;0,INDEX('Stato patrimoniale'!AS:AS,MATCH(A14,'Stato patrimoniale'!A:A,0)),0)</f>
        <v>67.924999999999983</v>
      </c>
      <c r="L14" s="91">
        <f>INDEX('Stato patrimoniale'!AG:AG,MATCH(A14,'Stato patrimoniale'!A:A,0))</f>
        <v>45992</v>
      </c>
      <c r="M14" t="s">
        <v>581</v>
      </c>
      <c r="N14" t="str">
        <f>INDEX('Stato patrimoniale'!Q:Q,MATCH(A14,'Stato patrimoniale'!A:A,0))</f>
        <v>Fineco-C</v>
      </c>
      <c r="O14" t="str">
        <f t="shared" si="1"/>
        <v>Fineco-C</v>
      </c>
    </row>
    <row r="15" spans="1:15" x14ac:dyDescent="0.25">
      <c r="A15">
        <v>7</v>
      </c>
      <c r="B15" t="str">
        <f>IF(INDEX('Stato patrimoniale'!L:L,MATCH(A15,'Stato patrimoniale'!A:A,0))&lt;&gt;0,INDEX('Stato patrimoniale'!L:L,MATCH(A15,'Stato patrimoniale'!A:A,0)),"")</f>
        <v>CHIP.MI</v>
      </c>
      <c r="C15" t="str">
        <f>INDEX('Stato patrimoniale'!K:K,MATCH(A15,'Stato patrimoniale'!A:A,0))</f>
        <v>LU1900066033</v>
      </c>
      <c r="D15" t="str">
        <f>INDEX('Stato patrimoniale'!C:C,MATCH(A15,'Stato patrimoniale'!A:A,0))</f>
        <v>Amundi MSCI Semiconductors ESG Screened UCITS ETF Acc</v>
      </c>
      <c r="E15" t="str">
        <f>INDEX('Stato patrimoniale'!D:D,MATCH(A15,'Stato patrimoniale'!A:A,0))</f>
        <v>ETF</v>
      </c>
      <c r="F15" t="str">
        <f>INDEX('Stato patrimoniale'!J:J,MATCH(A15,'Stato patrimoniale'!A:A,0))</f>
        <v>EUR</v>
      </c>
      <c r="G15">
        <f>INDEX('Stato patrimoniale'!I:I,MATCH(A15,'Stato patrimoniale'!A:A,0))</f>
        <v>20</v>
      </c>
      <c r="H15">
        <f>IF(E15="O",G15*INDEX('Stato patrimoniale'!AJ:AJ,MATCH(A15,'Stato patrimoniale'!A:A,0))/100,G15*INDEX('Stato patrimoniale'!AJ:AJ,MATCH(A15,'Stato patrimoniale'!A:A,0)))</f>
        <v>1140</v>
      </c>
      <c r="I15">
        <f>INDEX('Stato patrimoniale'!AM:AM,MATCH(A15,'Stato patrimoniale'!A:A,0))</f>
        <v>1</v>
      </c>
      <c r="J15">
        <f>INDEX('Stato patrimoniale'!AL:AL,MATCH(A15,'Stato patrimoniale'!A:A,0))</f>
        <v>2.95</v>
      </c>
      <c r="K15">
        <f>IF(INDEX('Stato patrimoniale'!AS:AS,MATCH(A15,'Stato patrimoniale'!A:A,0))&gt;0,INDEX('Stato patrimoniale'!AS:AS,MATCH(A15,'Stato patrimoniale'!A:A,0)),0)</f>
        <v>147.90099999999998</v>
      </c>
      <c r="L15" s="91">
        <f>INDEX('Stato patrimoniale'!AG:AG,MATCH(A15,'Stato patrimoniale'!A:A,0))</f>
        <v>45663</v>
      </c>
      <c r="M15" t="s">
        <v>581</v>
      </c>
      <c r="N15" t="str">
        <f>INDEX('Stato patrimoniale'!Q:Q,MATCH(A15,'Stato patrimoniale'!A:A,0))</f>
        <v>Fineco-C</v>
      </c>
      <c r="O15" t="str">
        <f t="shared" si="1"/>
        <v>Fineco-C</v>
      </c>
    </row>
    <row r="16" spans="1:15" x14ac:dyDescent="0.25">
      <c r="A16">
        <v>8</v>
      </c>
      <c r="B16" t="str">
        <f>IF(INDEX('Stato patrimoniale'!L:L,MATCH(A16,'Stato patrimoniale'!A:A,0))&lt;&gt;0,INDEX('Stato patrimoniale'!L:L,MATCH(A16,'Stato patrimoniale'!A:A,0)),"")</f>
        <v>XAIX.MI</v>
      </c>
      <c r="C16" t="str">
        <f>INDEX('Stato patrimoniale'!K:K,MATCH(A16,'Stato patrimoniale'!A:A,0))</f>
        <v>IE00BGV5VN51</v>
      </c>
      <c r="D16" t="str">
        <f>INDEX('Stato patrimoniale'!C:C,MATCH(A16,'Stato patrimoniale'!A:A,0))</f>
        <v>Xtrackers Artif. Int. and Big Data UCITS ETF 1C</v>
      </c>
      <c r="E16" t="str">
        <f>INDEX('Stato patrimoniale'!D:D,MATCH(A16,'Stato patrimoniale'!A:A,0))</f>
        <v>ETF</v>
      </c>
      <c r="F16" t="str">
        <f>INDEX('Stato patrimoniale'!J:J,MATCH(A16,'Stato patrimoniale'!A:A,0))</f>
        <v>EUR</v>
      </c>
      <c r="G16">
        <f>INDEX('Stato patrimoniale'!I:I,MATCH(A16,'Stato patrimoniale'!A:A,0))</f>
        <v>6</v>
      </c>
      <c r="H16">
        <f>IF(E16="O",G16*INDEX('Stato patrimoniale'!AJ:AJ,MATCH(A16,'Stato patrimoniale'!A:A,0))/100,G16*INDEX('Stato patrimoniale'!AJ:AJ,MATCH(A16,'Stato patrimoniale'!A:A,0)))</f>
        <v>1162.1999999999998</v>
      </c>
      <c r="I16">
        <f>INDEX('Stato patrimoniale'!AM:AM,MATCH(A16,'Stato patrimoniale'!A:A,0))</f>
        <v>1</v>
      </c>
      <c r="J16">
        <f>INDEX('Stato patrimoniale'!AL:AL,MATCH(A16,'Stato patrimoniale'!A:A,0))</f>
        <v>2.95</v>
      </c>
      <c r="K16">
        <f>IF(INDEX('Stato patrimoniale'!AS:AS,MATCH(A16,'Stato patrimoniale'!A:A,0))&gt;0,INDEX('Stato patrimoniale'!AS:AS,MATCH(A16,'Stato patrimoniale'!A:A,0)),0)</f>
        <v>164.91799999999992</v>
      </c>
      <c r="L16" s="91">
        <f>INDEX('Stato patrimoniale'!AG:AG,MATCH(A16,'Stato patrimoniale'!A:A,0))</f>
        <v>46156</v>
      </c>
      <c r="M16" t="s">
        <v>581</v>
      </c>
      <c r="N16" t="str">
        <f>INDEX('Stato patrimoniale'!Q:Q,MATCH(A16,'Stato patrimoniale'!A:A,0))</f>
        <v>Fineco-C</v>
      </c>
      <c r="O16" t="str">
        <f t="shared" si="1"/>
        <v>Fineco-C</v>
      </c>
    </row>
    <row r="17" spans="1:15" x14ac:dyDescent="0.25">
      <c r="A17">
        <v>11</v>
      </c>
      <c r="B17" t="str">
        <f>IF(INDEX('Stato patrimoniale'!L:L,MATCH(A17,'Stato patrimoniale'!A:A,0))&lt;&gt;0,INDEX('Stato patrimoniale'!L:L,MATCH(A17,'Stato patrimoniale'!A:A,0)),"")</f>
        <v/>
      </c>
      <c r="C17" t="str">
        <f>INDEX('Stato patrimoniale'!K:K,MATCH(A17,'Stato patrimoniale'!A:A,0))</f>
        <v>US912810EW46</v>
      </c>
      <c r="D17" t="str">
        <f>INDEX('Stato patrimoniale'!C:C,MATCH(A17,'Stato patrimoniale'!A:A,0))</f>
        <v>USA-15FB26 6</v>
      </c>
      <c r="E17" t="str">
        <f>INDEX('Stato patrimoniale'!D:D,MATCH(A17,'Stato patrimoniale'!A:A,0))</f>
        <v>O</v>
      </c>
      <c r="F17" t="str">
        <f>INDEX('Stato patrimoniale'!J:J,MATCH(A17,'Stato patrimoniale'!A:A,0))</f>
        <v>USD</v>
      </c>
      <c r="G17">
        <f>INDEX('Stato patrimoniale'!I:I,MATCH(A17,'Stato patrimoniale'!A:A,0))</f>
        <v>5000</v>
      </c>
      <c r="H17">
        <f>IF(E17="O",G17*INDEX('Stato patrimoniale'!AJ:AJ,MATCH(A17,'Stato patrimoniale'!A:A,0))/100,G17*INDEX('Stato patrimoniale'!AJ:AJ,MATCH(A17,'Stato patrimoniale'!A:A,0)))</f>
        <v>5000</v>
      </c>
      <c r="I17">
        <f>INDEX('Stato patrimoniale'!AM:AM,MATCH(A17,'Stato patrimoniale'!A:A,0))</f>
        <v>0.84370000000000001</v>
      </c>
      <c r="J17">
        <f>INDEX('Stato patrimoniale'!AL:AL,MATCH(A17,'Stato patrimoniale'!A:A,0))</f>
        <v>0</v>
      </c>
      <c r="K17">
        <f>IF(INDEX('Stato patrimoniale'!AS:AS,MATCH(A17,'Stato patrimoniale'!A:A,0))&gt;0,INDEX('Stato patrimoniale'!AS:AS,MATCH(A17,'Stato patrimoniale'!A:A,0)),0)</f>
        <v>0</v>
      </c>
      <c r="L17" s="91">
        <f>INDEX('Stato patrimoniale'!AG:AG,MATCH(A17,'Stato patrimoniale'!A:A,0))</f>
        <v>46070</v>
      </c>
      <c r="M17" t="s">
        <v>581</v>
      </c>
      <c r="N17" t="str">
        <f>INDEX('Stato patrimoniale'!Q:Q,MATCH(A17,'Stato patrimoniale'!A:A,0))</f>
        <v>Fineco-C</v>
      </c>
      <c r="O17" t="str">
        <f t="shared" si="1"/>
        <v>Fineco-C</v>
      </c>
    </row>
    <row r="18" spans="1:15" x14ac:dyDescent="0.25">
      <c r="A18">
        <v>25</v>
      </c>
      <c r="B18" t="str">
        <f>IF(INDEX('Stato patrimoniale'!L:L,MATCH(A18,'Stato patrimoniale'!A:A,0))&lt;&gt;0,INDEX('Stato patrimoniale'!L:L,MATCH(A18,'Stato patrimoniale'!A:A,0)),"")</f>
        <v/>
      </c>
      <c r="C18" t="str">
        <f>INDEX('Stato patrimoniale'!K:K,MATCH(A18,'Stato patrimoniale'!A:A,0))</f>
        <v>IT0005557084</v>
      </c>
      <c r="D18" t="str">
        <f>INDEX('Stato patrimoniale'!C:C,MATCH(A18,'Stato patrimoniale'!A:A,0))</f>
        <v>BTP-29ST25 3,60</v>
      </c>
      <c r="E18" t="str">
        <f>INDEX('Stato patrimoniale'!D:D,MATCH(A18,'Stato patrimoniale'!A:A,0))</f>
        <v>O</v>
      </c>
      <c r="F18" t="str">
        <f>INDEX('Stato patrimoniale'!J:J,MATCH(A18,'Stato patrimoniale'!A:A,0))</f>
        <v>EUR</v>
      </c>
      <c r="G18">
        <f>INDEX('Stato patrimoniale'!I:I,MATCH(A18,'Stato patrimoniale'!A:A,0))</f>
        <v>5000</v>
      </c>
      <c r="H18">
        <f>IF(E18="O",G18*INDEX('Stato patrimoniale'!AJ:AJ,MATCH(A18,'Stato patrimoniale'!A:A,0))/100,G18*INDEX('Stato patrimoniale'!AJ:AJ,MATCH(A18,'Stato patrimoniale'!A:A,0)))</f>
        <v>5000</v>
      </c>
      <c r="I18">
        <f>INDEX('Stato patrimoniale'!AM:AM,MATCH(A18,'Stato patrimoniale'!A:A,0))</f>
        <v>1</v>
      </c>
      <c r="J18">
        <f>INDEX('Stato patrimoniale'!AL:AL,MATCH(A18,'Stato patrimoniale'!A:A,0))</f>
        <v>0</v>
      </c>
      <c r="K18">
        <f>IF(INDEX('Stato patrimoniale'!AS:AS,MATCH(A18,'Stato patrimoniale'!A:A,0))&gt;0,INDEX('Stato patrimoniale'!AS:AS,MATCH(A18,'Stato patrimoniale'!A:A,0)),0)</f>
        <v>0</v>
      </c>
      <c r="L18" s="91">
        <f>INDEX('Stato patrimoniale'!AG:AG,MATCH(A18,'Stato patrimoniale'!A:A,0))</f>
        <v>45929</v>
      </c>
      <c r="M18" t="s">
        <v>581</v>
      </c>
      <c r="N18" t="str">
        <f>INDEX('Stato patrimoniale'!Q:Q,MATCH(A18,'Stato patrimoniale'!A:A,0))</f>
        <v>Fineco-C</v>
      </c>
      <c r="O18" t="str">
        <f t="shared" si="1"/>
        <v>Fineco-C</v>
      </c>
    </row>
    <row r="19" spans="1:15" x14ac:dyDescent="0.25">
      <c r="A19">
        <v>26</v>
      </c>
      <c r="B19" t="str">
        <f>IF(INDEX('Stato patrimoniale'!L:L,MATCH(A19,'Stato patrimoniale'!A:A,0))&lt;&gt;0,INDEX('Stato patrimoniale'!L:L,MATCH(A19,'Stato patrimoniale'!A:A,0)),"")</f>
        <v/>
      </c>
      <c r="C19" t="str">
        <f>INDEX('Stato patrimoniale'!K:K,MATCH(A19,'Stato patrimoniale'!A:A,0))</f>
        <v>US912828XB14</v>
      </c>
      <c r="D19" t="str">
        <f>INDEX('Stato patrimoniale'!C:C,MATCH(A19,'Stato patrimoniale'!A:A,0))</f>
        <v>USA-15MG25 2,125</v>
      </c>
      <c r="E19" t="str">
        <f>INDEX('Stato patrimoniale'!D:D,MATCH(A19,'Stato patrimoniale'!A:A,0))</f>
        <v>O</v>
      </c>
      <c r="F19" t="str">
        <f>INDEX('Stato patrimoniale'!J:J,MATCH(A19,'Stato patrimoniale'!A:A,0))</f>
        <v>USD</v>
      </c>
      <c r="G19">
        <f>INDEX('Stato patrimoniale'!I:I,MATCH(A19,'Stato patrimoniale'!A:A,0))</f>
        <v>5000</v>
      </c>
      <c r="H19">
        <f>IF(E19="O",G19*INDEX('Stato patrimoniale'!AJ:AJ,MATCH(A19,'Stato patrimoniale'!A:A,0))/100,G19*INDEX('Stato patrimoniale'!AJ:AJ,MATCH(A19,'Stato patrimoniale'!A:A,0)))</f>
        <v>5000</v>
      </c>
      <c r="I19">
        <f>INDEX('Stato patrimoniale'!AM:AM,MATCH(A19,'Stato patrimoniale'!A:A,0))</f>
        <v>0.89405453732677687</v>
      </c>
      <c r="J19">
        <f>INDEX('Stato patrimoniale'!AL:AL,MATCH(A19,'Stato patrimoniale'!A:A,0))</f>
        <v>0</v>
      </c>
      <c r="K19">
        <f>IF(INDEX('Stato patrimoniale'!AS:AS,MATCH(A19,'Stato patrimoniale'!A:A,0))&gt;0,INDEX('Stato patrimoniale'!AS:AS,MATCH(A19,'Stato patrimoniale'!A:A,0)),0)</f>
        <v>3.2131568292355901</v>
      </c>
      <c r="L19" s="91">
        <f>INDEX('Stato patrimoniale'!AG:AG,MATCH(A19,'Stato patrimoniale'!A:A,0))</f>
        <v>45792</v>
      </c>
      <c r="M19" t="s">
        <v>581</v>
      </c>
      <c r="N19" t="str">
        <f>INDEX('Stato patrimoniale'!Q:Q,MATCH(A19,'Stato patrimoniale'!A:A,0))</f>
        <v>Fineco-C</v>
      </c>
      <c r="O19" t="str">
        <f t="shared" si="1"/>
        <v>Fineco-C</v>
      </c>
    </row>
    <row r="20" spans="1:15" x14ac:dyDescent="0.25">
      <c r="A20">
        <v>37</v>
      </c>
      <c r="B20" t="str">
        <f>IF(INDEX('Stato patrimoniale'!L:L,MATCH(A20,'Stato patrimoniale'!A:A,0))&lt;&gt;0,INDEX('Stato patrimoniale'!L:L,MATCH(A20,'Stato patrimoniale'!A:A,0)),"")</f>
        <v/>
      </c>
      <c r="C20" t="str">
        <f>INDEX('Stato patrimoniale'!K:K,MATCH(A20,'Stato patrimoniale'!A:A,0))</f>
        <v>IT0005584302</v>
      </c>
      <c r="D20" t="str">
        <f>INDEX('Stato patrimoniale'!C:C,MATCH(A20,'Stato patrimoniale'!A:A,0))</f>
        <v>BTP-28GE26 3,2</v>
      </c>
      <c r="E20" t="str">
        <f>INDEX('Stato patrimoniale'!D:D,MATCH(A20,'Stato patrimoniale'!A:A,0))</f>
        <v>O</v>
      </c>
      <c r="F20" t="str">
        <f>INDEX('Stato patrimoniale'!J:J,MATCH(A20,'Stato patrimoniale'!A:A,0))</f>
        <v>EUR</v>
      </c>
      <c r="G20">
        <f>INDEX('Stato patrimoniale'!I:I,MATCH(A20,'Stato patrimoniale'!A:A,0))</f>
        <v>2000</v>
      </c>
      <c r="H20">
        <f>IF(E20="O",G20*INDEX('Stato patrimoniale'!AJ:AJ,MATCH(A20,'Stato patrimoniale'!A:A,0))/100,G20*INDEX('Stato patrimoniale'!AJ:AJ,MATCH(A20,'Stato patrimoniale'!A:A,0)))</f>
        <v>1999.17</v>
      </c>
      <c r="I20">
        <f>INDEX('Stato patrimoniale'!AM:AM,MATCH(A20,'Stato patrimoniale'!A:A,0))</f>
        <v>1</v>
      </c>
      <c r="J20">
        <f>INDEX('Stato patrimoniale'!AL:AL,MATCH(A20,'Stato patrimoniale'!A:A,0))</f>
        <v>0</v>
      </c>
      <c r="K20">
        <f>IF(INDEX('Stato patrimoniale'!AS:AS,MATCH(A20,'Stato patrimoniale'!A:A,0))&gt;0,INDEX('Stato patrimoniale'!AS:AS,MATCH(A20,'Stato patrimoniale'!A:A,0)),0)</f>
        <v>0</v>
      </c>
      <c r="L20" s="91">
        <f>INDEX('Stato patrimoniale'!AG:AG,MATCH(A20,'Stato patrimoniale'!A:A,0))</f>
        <v>46050</v>
      </c>
      <c r="M20" t="s">
        <v>581</v>
      </c>
      <c r="N20" t="str">
        <f>INDEX('Stato patrimoniale'!Q:Q,MATCH(A20,'Stato patrimoniale'!A:A,0))</f>
        <v>Fineco</v>
      </c>
      <c r="O20" t="str">
        <f t="shared" si="1"/>
        <v>Fineco</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6F74-097C-499C-A2E7-EB059E328089}">
  <dimension ref="A1:I158"/>
  <sheetViews>
    <sheetView showZeros="0" topLeftCell="A136" workbookViewId="0">
      <selection activeCell="G163" sqref="G163"/>
    </sheetView>
  </sheetViews>
  <sheetFormatPr defaultRowHeight="15" x14ac:dyDescent="0.25"/>
  <cols>
    <col min="2" max="2" width="49.5703125" bestFit="1" customWidth="1"/>
    <col min="3" max="3" width="5.42578125" bestFit="1" customWidth="1"/>
    <col min="4" max="4" width="6.140625" bestFit="1" customWidth="1"/>
    <col min="5" max="5" width="5.7109375" bestFit="1" customWidth="1"/>
    <col min="6" max="6" width="26.140625" style="91" customWidth="1"/>
    <col min="7" max="7" width="9" bestFit="1" customWidth="1"/>
    <col min="8" max="8" width="17.28515625" bestFit="1" customWidth="1"/>
    <col min="9" max="9" width="12.7109375" bestFit="1" customWidth="1"/>
  </cols>
  <sheetData>
    <row r="1" spans="1:9" x14ac:dyDescent="0.25">
      <c r="A1" t="s">
        <v>580</v>
      </c>
      <c r="B1" t="s">
        <v>566</v>
      </c>
      <c r="C1" t="s">
        <v>577</v>
      </c>
      <c r="D1" t="s">
        <v>572</v>
      </c>
      <c r="E1" t="s">
        <v>576</v>
      </c>
      <c r="F1" s="91" t="s">
        <v>571</v>
      </c>
      <c r="G1" s="91" t="s">
        <v>570</v>
      </c>
      <c r="H1" t="s">
        <v>568</v>
      </c>
      <c r="I1" t="s">
        <v>569</v>
      </c>
    </row>
    <row r="2" spans="1:9" x14ac:dyDescent="0.25">
      <c r="A2" cm="1">
        <f t="array" ref="A2:A158">Operazioni!A2:A158</f>
        <v>21</v>
      </c>
      <c r="B2" t="str">
        <f>INDEX('Stato patrimoniale'!C:C,MATCH(A2,'Stato patrimoniale'!A:A,0))</f>
        <v>Apple</v>
      </c>
      <c r="C2" t="str">
        <f>INDEX('Stato patrimoniale'!D:D,MATCH(A2,'Stato patrimoniale'!A:A,0))</f>
        <v>A</v>
      </c>
      <c r="D2" cm="1">
        <f t="array" ref="D2:D158">Operazioni!K2:K158</f>
        <v>0.28120000000000001</v>
      </c>
      <c r="E2" cm="1">
        <f t="array" ref="E2:E158">Operazioni!K2:K158-Operazioni!H2:H158</f>
        <v>-9.8799999999999999E-2</v>
      </c>
      <c r="F2" s="91" cm="1">
        <f t="array" ref="F2:F158">Operazioni!B2:B158</f>
        <v>44430</v>
      </c>
      <c r="G2" t="s">
        <v>582</v>
      </c>
      <c r="H2" t="str">
        <f>INDEX('Stato patrimoniale'!Q:Q,MATCH(A2,'Stato patrimoniale'!A:A,0))</f>
        <v>Fineco-C</v>
      </c>
      <c r="I2" t="str">
        <f>H2</f>
        <v>Fineco-C</v>
      </c>
    </row>
    <row r="3" spans="1:9" x14ac:dyDescent="0.25">
      <c r="A3">
        <v>23</v>
      </c>
      <c r="B3" t="str">
        <f>INDEX('Stato patrimoniale'!C:C,MATCH(A3,'Stato patrimoniale'!A:A,0))</f>
        <v>Microsoft</v>
      </c>
      <c r="C3" t="str">
        <f>INDEX('Stato patrimoniale'!D:D,MATCH(A3,'Stato patrimoniale'!A:A,0))</f>
        <v>A</v>
      </c>
      <c r="D3">
        <v>21.526599999999998</v>
      </c>
      <c r="E3">
        <v>-7.5634000000000015</v>
      </c>
      <c r="F3" s="91">
        <v>44452</v>
      </c>
      <c r="G3" t="s">
        <v>582</v>
      </c>
      <c r="H3" t="str">
        <f>INDEX('Stato patrimoniale'!Q:Q,MATCH(A3,'Stato patrimoniale'!A:A,0))</f>
        <v>Fineco-C</v>
      </c>
      <c r="I3" t="str">
        <f t="shared" ref="I3:I66" si="0">H3</f>
        <v>Fineco-C</v>
      </c>
    </row>
    <row r="4" spans="1:9" x14ac:dyDescent="0.25">
      <c r="A4">
        <v>21</v>
      </c>
      <c r="B4" t="str">
        <f>INDEX('Stato patrimoniale'!C:C,MATCH(A4,'Stato patrimoniale'!A:A,0))</f>
        <v>Apple</v>
      </c>
      <c r="C4" t="str">
        <f>INDEX('Stato patrimoniale'!D:D,MATCH(A4,'Stato patrimoniale'!A:A,0))</f>
        <v>A</v>
      </c>
      <c r="D4">
        <v>0.24420000000000003</v>
      </c>
      <c r="E4">
        <v>-8.5799999999999987E-2</v>
      </c>
      <c r="F4" s="91">
        <v>44516</v>
      </c>
      <c r="G4" t="s">
        <v>582</v>
      </c>
      <c r="H4" t="str">
        <f>INDEX('Stato patrimoniale'!Q:Q,MATCH(A4,'Stato patrimoniale'!A:A,0))</f>
        <v>Fineco-C</v>
      </c>
      <c r="I4" t="str">
        <f t="shared" si="0"/>
        <v>Fineco-C</v>
      </c>
    </row>
    <row r="5" spans="1:9" x14ac:dyDescent="0.25">
      <c r="A5">
        <v>23</v>
      </c>
      <c r="B5" t="str">
        <f>INDEX('Stato patrimoniale'!C:C,MATCH(A5,'Stato patrimoniale'!A:A,0))</f>
        <v>Microsoft</v>
      </c>
      <c r="C5" t="str">
        <f>INDEX('Stato patrimoniale'!D:D,MATCH(A5,'Stato patrimoniale'!A:A,0))</f>
        <v>A</v>
      </c>
      <c r="D5">
        <v>21.46</v>
      </c>
      <c r="E5">
        <v>-7.5399999999999991</v>
      </c>
      <c r="F5" s="91">
        <v>44545</v>
      </c>
      <c r="G5" t="s">
        <v>582</v>
      </c>
      <c r="H5" t="str">
        <f>INDEX('Stato patrimoniale'!Q:Q,MATCH(A5,'Stato patrimoniale'!A:A,0))</f>
        <v>Fineco-C</v>
      </c>
      <c r="I5" t="str">
        <f t="shared" si="0"/>
        <v>Fineco-C</v>
      </c>
    </row>
    <row r="6" spans="1:9" x14ac:dyDescent="0.25">
      <c r="A6">
        <v>21</v>
      </c>
      <c r="B6" t="str">
        <f>INDEX('Stato patrimoniale'!C:C,MATCH(A6,'Stato patrimoniale'!A:A,0))</f>
        <v>Apple</v>
      </c>
      <c r="C6" t="str">
        <f>INDEX('Stato patrimoniale'!D:D,MATCH(A6,'Stato patrimoniale'!A:A,0))</f>
        <v>A</v>
      </c>
      <c r="D6">
        <v>0.24420000000000003</v>
      </c>
      <c r="E6">
        <v>-8.5799999999999987E-2</v>
      </c>
      <c r="F6" s="91">
        <v>44607</v>
      </c>
      <c r="G6" t="s">
        <v>582</v>
      </c>
      <c r="H6" t="str">
        <f>INDEX('Stato patrimoniale'!Q:Q,MATCH(A6,'Stato patrimoniale'!A:A,0))</f>
        <v>Fineco-C</v>
      </c>
      <c r="I6" t="str">
        <f t="shared" si="0"/>
        <v>Fineco-C</v>
      </c>
    </row>
    <row r="7" spans="1:9" x14ac:dyDescent="0.25">
      <c r="A7">
        <v>23</v>
      </c>
      <c r="B7" t="str">
        <f>INDEX('Stato patrimoniale'!C:C,MATCH(A7,'Stato patrimoniale'!A:A,0))</f>
        <v>Microsoft</v>
      </c>
      <c r="C7" t="str">
        <f>INDEX('Stato patrimoniale'!D:D,MATCH(A7,'Stato patrimoniale'!A:A,0))</f>
        <v>A</v>
      </c>
      <c r="D7">
        <v>27.528000000000002</v>
      </c>
      <c r="E7">
        <v>-9.6720000000000006</v>
      </c>
      <c r="F7" s="91">
        <v>44637</v>
      </c>
      <c r="G7" t="s">
        <v>582</v>
      </c>
      <c r="H7" t="str">
        <f>INDEX('Stato patrimoniale'!Q:Q,MATCH(A7,'Stato patrimoniale'!A:A,0))</f>
        <v>Fineco-C</v>
      </c>
      <c r="I7" t="str">
        <f t="shared" si="0"/>
        <v>Fineco-C</v>
      </c>
    </row>
    <row r="8" spans="1:9" x14ac:dyDescent="0.25">
      <c r="A8">
        <v>21</v>
      </c>
      <c r="B8" t="str">
        <f>INDEX('Stato patrimoniale'!C:C,MATCH(A8,'Stato patrimoniale'!A:A,0))</f>
        <v>Apple</v>
      </c>
      <c r="C8" t="str">
        <f>INDEX('Stato patrimoniale'!D:D,MATCH(A8,'Stato patrimoniale'!A:A,0))</f>
        <v>A</v>
      </c>
      <c r="D8">
        <v>0.27379999999999999</v>
      </c>
      <c r="E8">
        <v>-9.6200000000000008E-2</v>
      </c>
      <c r="F8" s="91">
        <v>44697</v>
      </c>
      <c r="G8" t="s">
        <v>582</v>
      </c>
      <c r="H8" t="str">
        <f>INDEX('Stato patrimoniale'!Q:Q,MATCH(A8,'Stato patrimoniale'!A:A,0))</f>
        <v>Fineco-C</v>
      </c>
      <c r="I8" t="str">
        <f t="shared" si="0"/>
        <v>Fineco-C</v>
      </c>
    </row>
    <row r="9" spans="1:9" x14ac:dyDescent="0.25">
      <c r="A9">
        <v>23</v>
      </c>
      <c r="B9" t="str">
        <f>INDEX('Stato patrimoniale'!C:C,MATCH(A9,'Stato patrimoniale'!A:A,0))</f>
        <v>Microsoft</v>
      </c>
      <c r="C9" t="str">
        <f>INDEX('Stato patrimoniale'!D:D,MATCH(A9,'Stato patrimoniale'!A:A,0))</f>
        <v>A</v>
      </c>
      <c r="D9">
        <v>29.104199999999999</v>
      </c>
      <c r="E9">
        <v>-10.2258</v>
      </c>
      <c r="F9" s="91">
        <v>44726</v>
      </c>
      <c r="G9" t="s">
        <v>582</v>
      </c>
      <c r="H9" t="str">
        <f>INDEX('Stato patrimoniale'!Q:Q,MATCH(A9,'Stato patrimoniale'!A:A,0))</f>
        <v>Fineco-C</v>
      </c>
      <c r="I9" t="str">
        <f t="shared" si="0"/>
        <v>Fineco-C</v>
      </c>
    </row>
    <row r="10" spans="1:9" x14ac:dyDescent="0.25">
      <c r="A10">
        <v>21</v>
      </c>
      <c r="B10" t="str">
        <f>INDEX('Stato patrimoniale'!C:C,MATCH(A10,'Stato patrimoniale'!A:A,0))</f>
        <v>Apple</v>
      </c>
      <c r="C10" t="str">
        <f>INDEX('Stato patrimoniale'!D:D,MATCH(A10,'Stato patrimoniale'!A:A,0))</f>
        <v>A</v>
      </c>
      <c r="D10">
        <v>0.28120000000000001</v>
      </c>
      <c r="E10">
        <v>-9.8799999999999999E-2</v>
      </c>
      <c r="F10" s="91">
        <v>44789</v>
      </c>
      <c r="G10" t="s">
        <v>582</v>
      </c>
      <c r="H10" t="str">
        <f>INDEX('Stato patrimoniale'!Q:Q,MATCH(A10,'Stato patrimoniale'!A:A,0))</f>
        <v>Fineco-C</v>
      </c>
      <c r="I10" t="str">
        <f t="shared" si="0"/>
        <v>Fineco-C</v>
      </c>
    </row>
    <row r="11" spans="1:9" x14ac:dyDescent="0.25">
      <c r="A11">
        <v>23</v>
      </c>
      <c r="B11" t="str">
        <f>INDEX('Stato patrimoniale'!C:C,MATCH(A11,'Stato patrimoniale'!A:A,0))</f>
        <v>Microsoft</v>
      </c>
      <c r="C11" t="str">
        <f>INDEX('Stato patrimoniale'!D:D,MATCH(A11,'Stato patrimoniale'!A:A,0))</f>
        <v>A</v>
      </c>
      <c r="D11">
        <v>29.896000000000001</v>
      </c>
      <c r="E11">
        <v>-10.503999999999998</v>
      </c>
      <c r="F11" s="91">
        <v>44817</v>
      </c>
      <c r="G11" t="s">
        <v>582</v>
      </c>
      <c r="H11" t="str">
        <f>INDEX('Stato patrimoniale'!Q:Q,MATCH(A11,'Stato patrimoniale'!A:A,0))</f>
        <v>Fineco-C</v>
      </c>
      <c r="I11" t="str">
        <f t="shared" si="0"/>
        <v>Fineco-C</v>
      </c>
    </row>
    <row r="12" spans="1:9" x14ac:dyDescent="0.25">
      <c r="A12">
        <v>21</v>
      </c>
      <c r="B12" t="str">
        <f>INDEX('Stato patrimoniale'!C:C,MATCH(A12,'Stato patrimoniale'!A:A,0))</f>
        <v>Apple</v>
      </c>
      <c r="C12" t="str">
        <f>INDEX('Stato patrimoniale'!D:D,MATCH(A12,'Stato patrimoniale'!A:A,0))</f>
        <v>A</v>
      </c>
      <c r="D12">
        <v>0.27379999999999999</v>
      </c>
      <c r="E12">
        <v>-9.6200000000000008E-2</v>
      </c>
      <c r="F12" s="91">
        <v>44825</v>
      </c>
      <c r="G12" t="s">
        <v>582</v>
      </c>
      <c r="H12" t="str">
        <f>INDEX('Stato patrimoniale'!Q:Q,MATCH(A12,'Stato patrimoniale'!A:A,0))</f>
        <v>Fineco-C</v>
      </c>
      <c r="I12" t="str">
        <f t="shared" si="0"/>
        <v>Fineco-C</v>
      </c>
    </row>
    <row r="13" spans="1:9" x14ac:dyDescent="0.25">
      <c r="A13">
        <v>21</v>
      </c>
      <c r="B13" t="str">
        <f>INDEX('Stato patrimoniale'!C:C,MATCH(A13,'Stato patrimoniale'!A:A,0))</f>
        <v>Apple</v>
      </c>
      <c r="C13" t="str">
        <f>INDEX('Stato patrimoniale'!D:D,MATCH(A13,'Stato patrimoniale'!A:A,0))</f>
        <v>A</v>
      </c>
      <c r="D13">
        <v>0.28120000000000001</v>
      </c>
      <c r="E13">
        <v>-9.8799999999999999E-2</v>
      </c>
      <c r="F13" s="91">
        <v>44879</v>
      </c>
      <c r="G13" t="s">
        <v>582</v>
      </c>
      <c r="H13" t="str">
        <f>INDEX('Stato patrimoniale'!Q:Q,MATCH(A13,'Stato patrimoniale'!A:A,0))</f>
        <v>Fineco-C</v>
      </c>
      <c r="I13" t="str">
        <f t="shared" si="0"/>
        <v>Fineco-C</v>
      </c>
    </row>
    <row r="14" spans="1:9" x14ac:dyDescent="0.25">
      <c r="A14">
        <v>23</v>
      </c>
      <c r="B14" t="str">
        <f>INDEX('Stato patrimoniale'!C:C,MATCH(A14,'Stato patrimoniale'!A:A,0))</f>
        <v>Microsoft</v>
      </c>
      <c r="C14" t="str">
        <f>INDEX('Stato patrimoniale'!D:D,MATCH(A14,'Stato patrimoniale'!A:A,0))</f>
        <v>A</v>
      </c>
      <c r="D14">
        <v>31.4056</v>
      </c>
      <c r="E14">
        <v>-11.034399999999998</v>
      </c>
      <c r="F14" s="91">
        <v>44910</v>
      </c>
      <c r="G14" t="s">
        <v>582</v>
      </c>
      <c r="H14" t="str">
        <f>INDEX('Stato patrimoniale'!Q:Q,MATCH(A14,'Stato patrimoniale'!A:A,0))</f>
        <v>Fineco-C</v>
      </c>
      <c r="I14" t="str">
        <f t="shared" si="0"/>
        <v>Fineco-C</v>
      </c>
    </row>
    <row r="15" spans="1:9" x14ac:dyDescent="0.25">
      <c r="A15">
        <v>21</v>
      </c>
      <c r="B15" t="str">
        <f>INDEX('Stato patrimoniale'!C:C,MATCH(A15,'Stato patrimoniale'!A:A,0))</f>
        <v>Apple</v>
      </c>
      <c r="C15" t="str">
        <f>INDEX('Stato patrimoniale'!D:D,MATCH(A15,'Stato patrimoniale'!A:A,0))</f>
        <v>A</v>
      </c>
      <c r="D15">
        <v>0.27379999999999999</v>
      </c>
      <c r="E15">
        <v>-9.6200000000000008E-2</v>
      </c>
      <c r="F15" s="91">
        <v>44977</v>
      </c>
      <c r="G15" t="s">
        <v>582</v>
      </c>
      <c r="H15" t="str">
        <f>INDEX('Stato patrimoniale'!Q:Q,MATCH(A15,'Stato patrimoniale'!A:A,0))</f>
        <v>Fineco-C</v>
      </c>
      <c r="I15" t="str">
        <f t="shared" si="0"/>
        <v>Fineco-C</v>
      </c>
    </row>
    <row r="16" spans="1:9" x14ac:dyDescent="0.25">
      <c r="A16">
        <v>23</v>
      </c>
      <c r="B16" t="str">
        <f>INDEX('Stato patrimoniale'!C:C,MATCH(A16,'Stato patrimoniale'!A:A,0))</f>
        <v>Microsoft</v>
      </c>
      <c r="C16" t="str">
        <f>INDEX('Stato patrimoniale'!D:D,MATCH(A16,'Stato patrimoniale'!A:A,0))</f>
        <v>A</v>
      </c>
      <c r="D16">
        <v>36.0824</v>
      </c>
      <c r="E16">
        <v>-12.677599999999998</v>
      </c>
      <c r="F16" s="91">
        <v>45000</v>
      </c>
      <c r="G16" t="s">
        <v>582</v>
      </c>
      <c r="H16" t="str">
        <f>INDEX('Stato patrimoniale'!Q:Q,MATCH(A16,'Stato patrimoniale'!A:A,0))</f>
        <v>Fineco-C</v>
      </c>
      <c r="I16" t="str">
        <f t="shared" si="0"/>
        <v>Fineco-C</v>
      </c>
    </row>
    <row r="17" spans="1:9" x14ac:dyDescent="0.25">
      <c r="A17">
        <v>21</v>
      </c>
      <c r="B17" t="str">
        <f>INDEX('Stato patrimoniale'!C:C,MATCH(A17,'Stato patrimoniale'!A:A,0))</f>
        <v>Apple</v>
      </c>
      <c r="C17" t="str">
        <f>INDEX('Stato patrimoniale'!D:D,MATCH(A17,'Stato patrimoniale'!A:A,0))</f>
        <v>A</v>
      </c>
      <c r="D17">
        <v>0.28120000000000001</v>
      </c>
      <c r="E17">
        <v>-9.8799999999999999E-2</v>
      </c>
      <c r="F17" s="91">
        <v>45070</v>
      </c>
      <c r="G17" t="s">
        <v>582</v>
      </c>
      <c r="H17" t="str">
        <f>INDEX('Stato patrimoniale'!Q:Q,MATCH(A17,'Stato patrimoniale'!A:A,0))</f>
        <v>Fineco-C</v>
      </c>
      <c r="I17" t="str">
        <f t="shared" si="0"/>
        <v>Fineco-C</v>
      </c>
    </row>
    <row r="18" spans="1:9" x14ac:dyDescent="0.25">
      <c r="A18">
        <v>20</v>
      </c>
      <c r="B18" t="str">
        <f>INDEX('Stato patrimoniale'!C:C,MATCH(A18,'Stato patrimoniale'!A:A,0))</f>
        <v>Eni</v>
      </c>
      <c r="C18" t="str">
        <f>INDEX('Stato patrimoniale'!D:D,MATCH(A18,'Stato patrimoniale'!A:A,0))</f>
        <v>A</v>
      </c>
      <c r="D18">
        <v>0.6512</v>
      </c>
      <c r="E18">
        <v>-0.2288</v>
      </c>
      <c r="F18" s="91">
        <v>45070</v>
      </c>
      <c r="G18" t="s">
        <v>582</v>
      </c>
      <c r="H18" t="str">
        <f>INDEX('Stato patrimoniale'!Q:Q,MATCH(A18,'Stato patrimoniale'!A:A,0))</f>
        <v>Fineco-C</v>
      </c>
      <c r="I18" t="str">
        <f t="shared" si="0"/>
        <v>Fineco-C</v>
      </c>
    </row>
    <row r="19" spans="1:9" x14ac:dyDescent="0.25">
      <c r="A19">
        <v>23</v>
      </c>
      <c r="B19" t="str">
        <f>INDEX('Stato patrimoniale'!C:C,MATCH(A19,'Stato patrimoniale'!A:A,0))</f>
        <v>Microsoft</v>
      </c>
      <c r="C19" t="str">
        <f>INDEX('Stato patrimoniale'!D:D,MATCH(A19,'Stato patrimoniale'!A:A,0))</f>
        <v>A</v>
      </c>
      <c r="D19">
        <v>31.390799999999999</v>
      </c>
      <c r="E19">
        <v>-11.029200000000003</v>
      </c>
      <c r="F19" s="91">
        <v>45089</v>
      </c>
      <c r="G19" t="s">
        <v>582</v>
      </c>
      <c r="H19" t="str">
        <f>INDEX('Stato patrimoniale'!Q:Q,MATCH(A19,'Stato patrimoniale'!A:A,0))</f>
        <v>Fineco-C</v>
      </c>
      <c r="I19" t="str">
        <f t="shared" si="0"/>
        <v>Fineco-C</v>
      </c>
    </row>
    <row r="20" spans="1:9" x14ac:dyDescent="0.25">
      <c r="A20">
        <v>19</v>
      </c>
      <c r="B20" t="str">
        <f>INDEX('Stato patrimoniale'!C:C,MATCH(A20,'Stato patrimoniale'!A:A,0))</f>
        <v>Enel</v>
      </c>
      <c r="C20" t="str">
        <f>INDEX('Stato patrimoniale'!D:D,MATCH(A20,'Stato patrimoniale'!A:A,0))</f>
        <v>A</v>
      </c>
      <c r="D20">
        <v>1.1840000000000002</v>
      </c>
      <c r="E20">
        <v>-0.41599999999999993</v>
      </c>
      <c r="F20" s="91">
        <v>45133</v>
      </c>
      <c r="G20" t="s">
        <v>582</v>
      </c>
      <c r="H20" t="str">
        <f>INDEX('Stato patrimoniale'!Q:Q,MATCH(A20,'Stato patrimoniale'!A:A,0))</f>
        <v>Fineco-C</v>
      </c>
      <c r="I20" t="str">
        <f t="shared" si="0"/>
        <v>Fineco-C</v>
      </c>
    </row>
    <row r="21" spans="1:9" x14ac:dyDescent="0.25">
      <c r="A21">
        <v>11</v>
      </c>
      <c r="B21" t="str">
        <f>INDEX('Stato patrimoniale'!C:C,MATCH(A21,'Stato patrimoniale'!A:A,0))</f>
        <v>USA-15FB26 6</v>
      </c>
      <c r="C21" t="str">
        <f>INDEX('Stato patrimoniale'!D:D,MATCH(A21,'Stato patrimoniale'!A:A,0))</f>
        <v>O</v>
      </c>
      <c r="D21">
        <v>120.34822625000002</v>
      </c>
      <c r="E21">
        <v>-17.192603750000004</v>
      </c>
      <c r="F21" s="91">
        <v>45154</v>
      </c>
      <c r="G21" t="s">
        <v>582</v>
      </c>
      <c r="H21" t="str">
        <f>INDEX('Stato patrimoniale'!Q:Q,MATCH(A21,'Stato patrimoniale'!A:A,0))</f>
        <v>Fineco-C</v>
      </c>
      <c r="I21" t="str">
        <f t="shared" si="0"/>
        <v>Fineco-C</v>
      </c>
    </row>
    <row r="22" spans="1:9" x14ac:dyDescent="0.25">
      <c r="A22">
        <v>23</v>
      </c>
      <c r="B22" t="str">
        <f>INDEX('Stato patrimoniale'!C:C,MATCH(A22,'Stato patrimoniale'!A:A,0))</f>
        <v>Microsoft</v>
      </c>
      <c r="C22" t="str">
        <f>INDEX('Stato patrimoniale'!D:D,MATCH(A22,'Stato patrimoniale'!A:A,0))</f>
        <v>A</v>
      </c>
      <c r="D22">
        <v>27.675999999999998</v>
      </c>
      <c r="E22">
        <v>-9.7240000000000002</v>
      </c>
      <c r="F22" s="91">
        <v>45188</v>
      </c>
      <c r="G22" t="s">
        <v>582</v>
      </c>
      <c r="H22" t="str">
        <f>INDEX('Stato patrimoniale'!Q:Q,MATCH(A22,'Stato patrimoniale'!A:A,0))</f>
        <v>Fineco-C</v>
      </c>
      <c r="I22" t="str">
        <f t="shared" si="0"/>
        <v>Fineco-C</v>
      </c>
    </row>
    <row r="23" spans="1:9" x14ac:dyDescent="0.25">
      <c r="A23">
        <v>20</v>
      </c>
      <c r="B23" t="str">
        <f>INDEX('Stato patrimoniale'!C:C,MATCH(A23,'Stato patrimoniale'!A:A,0))</f>
        <v>Eni</v>
      </c>
      <c r="C23" t="str">
        <f>INDEX('Stato patrimoniale'!D:D,MATCH(A23,'Stato patrimoniale'!A:A,0))</f>
        <v>A</v>
      </c>
      <c r="D23">
        <v>3.3743999999999996</v>
      </c>
      <c r="E23">
        <v>-1.1856</v>
      </c>
      <c r="F23" s="91">
        <v>45189</v>
      </c>
      <c r="G23" t="s">
        <v>582</v>
      </c>
      <c r="H23" t="str">
        <f>INDEX('Stato patrimoniale'!Q:Q,MATCH(A23,'Stato patrimoniale'!A:A,0))</f>
        <v>Fineco-C</v>
      </c>
      <c r="I23" t="str">
        <f t="shared" si="0"/>
        <v>Fineco-C</v>
      </c>
    </row>
    <row r="24" spans="1:9" x14ac:dyDescent="0.25">
      <c r="A24">
        <v>16</v>
      </c>
      <c r="B24" t="str">
        <f>INDEX('Stato patrimoniale'!C:C,MATCH(A24,'Stato patrimoniale'!A:A,0))</f>
        <v>STMicroElectronics</v>
      </c>
      <c r="C24" t="str">
        <f>INDEX('Stato patrimoniale'!D:D,MATCH(A24,'Stato patrimoniale'!A:A,0))</f>
        <v>A</v>
      </c>
      <c r="D24">
        <v>0.17759999999999998</v>
      </c>
      <c r="E24">
        <v>-6.2400000000000011E-2</v>
      </c>
      <c r="F24" s="91">
        <v>45189</v>
      </c>
      <c r="G24" t="s">
        <v>582</v>
      </c>
      <c r="H24" t="str">
        <f>INDEX('Stato patrimoniale'!Q:Q,MATCH(A24,'Stato patrimoniale'!A:A,0))</f>
        <v>Fineco-C</v>
      </c>
      <c r="I24" t="str">
        <f t="shared" si="0"/>
        <v>Fineco-C</v>
      </c>
    </row>
    <row r="25" spans="1:9" x14ac:dyDescent="0.25">
      <c r="A25">
        <v>6</v>
      </c>
      <c r="B25" t="str">
        <f>INDEX('Stato patrimoniale'!C:C,MATCH(A25,'Stato patrimoniale'!A:A,0))</f>
        <v>iShares Core S&amp;P 500 UCITS ETF USD (Dist)</v>
      </c>
      <c r="C25" t="str">
        <f>INDEX('Stato patrimoniale'!D:D,MATCH(A25,'Stato patrimoniale'!A:A,0))</f>
        <v>ETF</v>
      </c>
      <c r="D25">
        <v>1.5406799999999998</v>
      </c>
      <c r="E25">
        <v>-0.54132000000000002</v>
      </c>
      <c r="F25" s="91">
        <v>45196</v>
      </c>
      <c r="G25" t="s">
        <v>582</v>
      </c>
      <c r="H25" t="str">
        <f>INDEX('Stato patrimoniale'!Q:Q,MATCH(A25,'Stato patrimoniale'!A:A,0))</f>
        <v>Fineco-C</v>
      </c>
      <c r="I25" t="str">
        <f t="shared" si="0"/>
        <v>Fineco-C</v>
      </c>
    </row>
    <row r="26" spans="1:9" x14ac:dyDescent="0.25">
      <c r="A26">
        <v>5</v>
      </c>
      <c r="B26" t="str">
        <f>INDEX('Stato patrimoniale'!C:C,MATCH(A26,'Stato patrimoniale'!A:A,0))</f>
        <v>iShares Core S&amp;P 500 UCITS ETF USD (Dist)</v>
      </c>
      <c r="C26" t="str">
        <f>INDEX('Stato patrimoniale'!D:D,MATCH(A26,'Stato patrimoniale'!A:A,0))</f>
        <v>ETF</v>
      </c>
      <c r="D26">
        <v>1.02712</v>
      </c>
      <c r="E26">
        <v>-0.36087999999999987</v>
      </c>
      <c r="F26" s="91">
        <v>45196</v>
      </c>
      <c r="G26" t="s">
        <v>582</v>
      </c>
      <c r="H26" t="str">
        <f>INDEX('Stato patrimoniale'!Q:Q,MATCH(A26,'Stato patrimoniale'!A:A,0))</f>
        <v>Fineco-C</v>
      </c>
      <c r="I26" t="str">
        <f t="shared" si="0"/>
        <v>Fineco-C</v>
      </c>
    </row>
    <row r="27" spans="1:9" x14ac:dyDescent="0.25">
      <c r="A27">
        <v>3</v>
      </c>
      <c r="B27" t="str">
        <f>INDEX('Stato patrimoniale'!C:C,MATCH(A27,'Stato patrimoniale'!A:A,0))</f>
        <v>Vanguard FTSE Emerging Markets UCITS ETF (USD) Dis</v>
      </c>
      <c r="C27" t="str">
        <f>INDEX('Stato patrimoniale'!D:D,MATCH(A27,'Stato patrimoniale'!A:A,0))</f>
        <v>ETF</v>
      </c>
      <c r="D27">
        <v>4.6841999999999997</v>
      </c>
      <c r="E27">
        <v>-1.6458000000000004</v>
      </c>
      <c r="F27" s="91">
        <v>45196</v>
      </c>
      <c r="G27" t="s">
        <v>582</v>
      </c>
      <c r="H27" t="str">
        <f>INDEX('Stato patrimoniale'!Q:Q,MATCH(A27,'Stato patrimoniale'!A:A,0))</f>
        <v>Fineco-C</v>
      </c>
      <c r="I27" t="str">
        <f t="shared" si="0"/>
        <v>Fineco-C</v>
      </c>
    </row>
    <row r="28" spans="1:9" x14ac:dyDescent="0.25">
      <c r="A28">
        <v>25</v>
      </c>
      <c r="B28" t="str">
        <f>INDEX('Stato patrimoniale'!C:C,MATCH(A28,'Stato patrimoniale'!A:A,0))</f>
        <v>BTP-29ST25 3,60</v>
      </c>
      <c r="C28" t="str">
        <f>INDEX('Stato patrimoniale'!D:D,MATCH(A28,'Stato patrimoniale'!A:A,0))</f>
        <v>O</v>
      </c>
      <c r="D28">
        <v>27.387499999999999</v>
      </c>
      <c r="E28">
        <v>-3.9125000000000014</v>
      </c>
      <c r="F28" s="91">
        <v>45198</v>
      </c>
      <c r="G28" t="s">
        <v>582</v>
      </c>
      <c r="H28" t="str">
        <f>INDEX('Stato patrimoniale'!Q:Q,MATCH(A28,'Stato patrimoniale'!A:A,0))</f>
        <v>Fineco-C</v>
      </c>
      <c r="I28" t="str">
        <f t="shared" si="0"/>
        <v>Fineco-C</v>
      </c>
    </row>
    <row r="29" spans="1:9" x14ac:dyDescent="0.25">
      <c r="A29">
        <v>12</v>
      </c>
      <c r="B29" t="str">
        <f>INDEX('Stato patrimoniale'!C:C,MATCH(A29,'Stato patrimoniale'!A:A,0))</f>
        <v>BTP-1OT53 4,5</v>
      </c>
      <c r="C29" t="str">
        <f>INDEX('Stato patrimoniale'!D:D,MATCH(A29,'Stato patrimoniale'!A:A,0))</f>
        <v>O</v>
      </c>
      <c r="D29">
        <v>98.4375</v>
      </c>
      <c r="E29">
        <v>-14.0625</v>
      </c>
      <c r="F29" s="91">
        <v>45201</v>
      </c>
      <c r="G29" t="s">
        <v>582</v>
      </c>
      <c r="H29" t="str">
        <f>INDEX('Stato patrimoniale'!Q:Q,MATCH(A29,'Stato patrimoniale'!A:A,0))</f>
        <v>Fineco-C</v>
      </c>
      <c r="I29" t="str">
        <f t="shared" si="0"/>
        <v>Fineco-C</v>
      </c>
    </row>
    <row r="30" spans="1:9" x14ac:dyDescent="0.25">
      <c r="A30">
        <v>26</v>
      </c>
      <c r="B30" t="str">
        <f>INDEX('Stato patrimoniale'!C:C,MATCH(A30,'Stato patrimoniale'!A:A,0))</f>
        <v>USA-15MG25 2,125</v>
      </c>
      <c r="C30" t="str">
        <f>INDEX('Stato patrimoniale'!D:D,MATCH(A30,'Stato patrimoniale'!A:A,0))</f>
        <v>O</v>
      </c>
      <c r="D30">
        <v>42.752499999999998</v>
      </c>
      <c r="E30">
        <v>-6.1075000000000017</v>
      </c>
      <c r="F30" s="91">
        <v>45245</v>
      </c>
      <c r="G30" t="s">
        <v>582</v>
      </c>
      <c r="H30" t="str">
        <f>INDEX('Stato patrimoniale'!Q:Q,MATCH(A30,'Stato patrimoniale'!A:A,0))</f>
        <v>Fineco-C</v>
      </c>
      <c r="I30" t="str">
        <f t="shared" si="0"/>
        <v>Fineco-C</v>
      </c>
    </row>
    <row r="31" spans="1:9" x14ac:dyDescent="0.25">
      <c r="A31">
        <v>21</v>
      </c>
      <c r="B31" t="str">
        <f>INDEX('Stato patrimoniale'!C:C,MATCH(A31,'Stato patrimoniale'!A:A,0))</f>
        <v>Apple</v>
      </c>
      <c r="C31" t="str">
        <f>INDEX('Stato patrimoniale'!D:D,MATCH(A31,'Stato patrimoniale'!A:A,0))</f>
        <v>A</v>
      </c>
      <c r="D31">
        <v>0.28120000000000001</v>
      </c>
      <c r="E31">
        <v>-9.8799999999999999E-2</v>
      </c>
      <c r="F31" s="91">
        <v>45250</v>
      </c>
      <c r="G31" t="s">
        <v>582</v>
      </c>
      <c r="H31" t="str">
        <f>INDEX('Stato patrimoniale'!Q:Q,MATCH(A31,'Stato patrimoniale'!A:A,0))</f>
        <v>Fineco-C</v>
      </c>
      <c r="I31" t="str">
        <f t="shared" si="0"/>
        <v>Fineco-C</v>
      </c>
    </row>
    <row r="32" spans="1:9" x14ac:dyDescent="0.25">
      <c r="A32">
        <v>20</v>
      </c>
      <c r="B32" t="str">
        <f>INDEX('Stato patrimoniale'!C:C,MATCH(A32,'Stato patrimoniale'!A:A,0))</f>
        <v>Eni</v>
      </c>
      <c r="C32" t="str">
        <f>INDEX('Stato patrimoniale'!D:D,MATCH(A32,'Stato patrimoniale'!A:A,0))</f>
        <v>A</v>
      </c>
      <c r="D32">
        <v>3.2338</v>
      </c>
      <c r="E32">
        <v>-1.1362000000000001</v>
      </c>
      <c r="F32" s="91">
        <v>45252</v>
      </c>
      <c r="G32" t="s">
        <v>582</v>
      </c>
      <c r="H32" t="str">
        <f>INDEX('Stato patrimoniale'!Q:Q,MATCH(A32,'Stato patrimoniale'!A:A,0))</f>
        <v>Fineco-C</v>
      </c>
      <c r="I32" t="str">
        <f t="shared" si="0"/>
        <v>Fineco-C</v>
      </c>
    </row>
    <row r="33" spans="1:9" x14ac:dyDescent="0.25">
      <c r="A33">
        <v>17</v>
      </c>
      <c r="B33" t="str">
        <f>INDEX('Stato patrimoniale'!C:C,MATCH(A33,'Stato patrimoniale'!A:A,0))</f>
        <v>Intesa San Paolo</v>
      </c>
      <c r="C33" t="str">
        <f>INDEX('Stato patrimoniale'!D:D,MATCH(A33,'Stato patrimoniale'!A:A,0))</f>
        <v>A</v>
      </c>
      <c r="D33">
        <v>10.656000000000001</v>
      </c>
      <c r="E33">
        <v>-3.7439999999999998</v>
      </c>
      <c r="F33" s="91">
        <v>45252</v>
      </c>
      <c r="G33" t="s">
        <v>582</v>
      </c>
      <c r="H33" t="str">
        <f>INDEX('Stato patrimoniale'!Q:Q,MATCH(A33,'Stato patrimoniale'!A:A,0))</f>
        <v>Fineco-C</v>
      </c>
      <c r="I33" t="str">
        <f t="shared" si="0"/>
        <v>Fineco-C</v>
      </c>
    </row>
    <row r="34" spans="1:9" x14ac:dyDescent="0.25">
      <c r="A34">
        <v>15</v>
      </c>
      <c r="B34" t="str">
        <f>INDEX('Stato patrimoniale'!C:C,MATCH(A34,'Stato patrimoniale'!A:A,0))</f>
        <v>Poste Italiane</v>
      </c>
      <c r="C34" t="str">
        <f>INDEX('Stato patrimoniale'!D:D,MATCH(A34,'Stato patrimoniale'!A:A,0))</f>
        <v>A</v>
      </c>
      <c r="D34">
        <v>4.3881999999999994</v>
      </c>
      <c r="E34">
        <v>-1.5418000000000003</v>
      </c>
      <c r="F34" s="91">
        <v>45252</v>
      </c>
      <c r="G34" t="s">
        <v>582</v>
      </c>
      <c r="H34" t="str">
        <f>INDEX('Stato patrimoniale'!Q:Q,MATCH(A34,'Stato patrimoniale'!A:A,0))</f>
        <v>Fineco-C</v>
      </c>
      <c r="I34" t="str">
        <f t="shared" si="0"/>
        <v>Fineco-C</v>
      </c>
    </row>
    <row r="35" spans="1:9" x14ac:dyDescent="0.25">
      <c r="A35">
        <v>4</v>
      </c>
      <c r="B35" t="str">
        <f>INDEX('Stato patrimoniale'!C:C,MATCH(A35,'Stato patrimoniale'!A:A,0))</f>
        <v>iShares Global Clean Energy UCITS ETF USD (Dist)</v>
      </c>
      <c r="C35" t="str">
        <f>INDEX('Stato patrimoniale'!D:D,MATCH(A35,'Stato patrimoniale'!A:A,0))</f>
        <v>ETF</v>
      </c>
      <c r="D35">
        <v>1.5021999999999998</v>
      </c>
      <c r="E35">
        <v>-0.52780000000000005</v>
      </c>
      <c r="F35" s="91">
        <v>45259</v>
      </c>
      <c r="G35" t="s">
        <v>582</v>
      </c>
      <c r="H35" t="str">
        <f>INDEX('Stato patrimoniale'!Q:Q,MATCH(A35,'Stato patrimoniale'!A:A,0))</f>
        <v>Fineco-C</v>
      </c>
      <c r="I35" t="str">
        <f t="shared" si="0"/>
        <v>Fineco-C</v>
      </c>
    </row>
    <row r="36" spans="1:9" x14ac:dyDescent="0.25">
      <c r="A36">
        <v>10</v>
      </c>
      <c r="B36" t="str">
        <f>INDEX('Stato patrimoniale'!C:C,MATCH(A36,'Stato patrimoniale'!A:A,0))</f>
        <v>BTP-VAL 13GN27SU CUM</v>
      </c>
      <c r="C36" t="str">
        <f>INDEX('Stato patrimoniale'!D:D,MATCH(A36,'Stato patrimoniale'!A:A,0))</f>
        <v>O</v>
      </c>
      <c r="D36">
        <v>142.1875</v>
      </c>
      <c r="E36">
        <v>-20.3125</v>
      </c>
      <c r="F36" s="91">
        <v>45273</v>
      </c>
      <c r="G36" t="s">
        <v>582</v>
      </c>
      <c r="H36" t="str">
        <f>INDEX('Stato patrimoniale'!Q:Q,MATCH(A36,'Stato patrimoniale'!A:A,0))</f>
        <v>Fineco-C</v>
      </c>
      <c r="I36" t="str">
        <f t="shared" si="0"/>
        <v>Fineco-C</v>
      </c>
    </row>
    <row r="37" spans="1:9" x14ac:dyDescent="0.25">
      <c r="A37">
        <v>16</v>
      </c>
      <c r="B37" t="str">
        <f>INDEX('Stato patrimoniale'!C:C,MATCH(A37,'Stato patrimoniale'!A:A,0))</f>
        <v>STMicroElectronics</v>
      </c>
      <c r="C37" t="str">
        <f>INDEX('Stato patrimoniale'!D:D,MATCH(A37,'Stato patrimoniale'!A:A,0))</f>
        <v>A</v>
      </c>
      <c r="D37">
        <v>0.17759999999999998</v>
      </c>
      <c r="E37">
        <v>-6.2400000000000011E-2</v>
      </c>
      <c r="F37" s="91">
        <v>45273</v>
      </c>
      <c r="G37" t="s">
        <v>582</v>
      </c>
      <c r="H37" t="str">
        <f>INDEX('Stato patrimoniale'!Q:Q,MATCH(A37,'Stato patrimoniale'!A:A,0))</f>
        <v>Fineco-C</v>
      </c>
      <c r="I37" t="str">
        <f t="shared" si="0"/>
        <v>Fineco-C</v>
      </c>
    </row>
    <row r="38" spans="1:9" x14ac:dyDescent="0.25">
      <c r="A38">
        <v>23</v>
      </c>
      <c r="B38" t="str">
        <f>INDEX('Stato patrimoniale'!C:C,MATCH(A38,'Stato patrimoniale'!A:A,0))</f>
        <v>Microsoft</v>
      </c>
      <c r="C38" t="str">
        <f>INDEX('Stato patrimoniale'!D:D,MATCH(A38,'Stato patrimoniale'!A:A,0))</f>
        <v>A</v>
      </c>
      <c r="D38">
        <v>29.814599999999999</v>
      </c>
      <c r="E38">
        <v>-10.4754</v>
      </c>
      <c r="F38" s="91">
        <v>45279</v>
      </c>
      <c r="G38" t="s">
        <v>582</v>
      </c>
      <c r="H38" t="str">
        <f>INDEX('Stato patrimoniale'!Q:Q,MATCH(A38,'Stato patrimoniale'!A:A,0))</f>
        <v>Fineco-C</v>
      </c>
      <c r="I38" t="str">
        <f t="shared" si="0"/>
        <v>Fineco-C</v>
      </c>
    </row>
    <row r="39" spans="1:9" x14ac:dyDescent="0.25">
      <c r="A39">
        <v>3</v>
      </c>
      <c r="B39" t="str">
        <f>INDEX('Stato patrimoniale'!C:C,MATCH(A39,'Stato patrimoniale'!A:A,0))</f>
        <v>Vanguard FTSE Emerging Markets UCITS ETF (USD) Dis</v>
      </c>
      <c r="C39" t="str">
        <f>INDEX('Stato patrimoniale'!D:D,MATCH(A39,'Stato patrimoniale'!A:A,0))</f>
        <v>ETF</v>
      </c>
      <c r="D39">
        <v>1.1840000000000002</v>
      </c>
      <c r="E39">
        <v>-0.41599999999999993</v>
      </c>
      <c r="F39" s="91">
        <v>45287</v>
      </c>
      <c r="G39" t="s">
        <v>582</v>
      </c>
      <c r="H39" t="str">
        <f>INDEX('Stato patrimoniale'!Q:Q,MATCH(A39,'Stato patrimoniale'!A:A,0))</f>
        <v>Fineco-C</v>
      </c>
      <c r="I39" t="str">
        <f t="shared" si="0"/>
        <v>Fineco-C</v>
      </c>
    </row>
    <row r="40" spans="1:9" x14ac:dyDescent="0.25">
      <c r="A40">
        <v>5</v>
      </c>
      <c r="B40" t="str">
        <f>INDEX('Stato patrimoniale'!C:C,MATCH(A40,'Stato patrimoniale'!A:A,0))</f>
        <v>iShares Core S&amp;P 500 UCITS ETF USD (Dist)</v>
      </c>
      <c r="C40" t="str">
        <f>INDEX('Stato patrimoniale'!D:D,MATCH(A40,'Stato patrimoniale'!A:A,0))</f>
        <v>ETF</v>
      </c>
      <c r="D40">
        <v>2.4716</v>
      </c>
      <c r="E40">
        <v>-0.86839999999999984</v>
      </c>
      <c r="F40" s="91">
        <v>45289</v>
      </c>
      <c r="G40" t="s">
        <v>582</v>
      </c>
      <c r="H40" t="str">
        <f>INDEX('Stato patrimoniale'!Q:Q,MATCH(A40,'Stato patrimoniale'!A:A,0))</f>
        <v>Fineco-C</v>
      </c>
      <c r="I40" t="str">
        <f t="shared" si="0"/>
        <v>Fineco-C</v>
      </c>
    </row>
    <row r="41" spans="1:9" x14ac:dyDescent="0.25">
      <c r="A41">
        <v>29</v>
      </c>
      <c r="B41" t="str">
        <f>INDEX('Stato patrimoniale'!C:C,MATCH(A41,'Stato patrimoniale'!A:A,0))</f>
        <v>BTP-VAL 10OT28SU CUM</v>
      </c>
      <c r="C41" t="str">
        <f>INDEX('Stato patrimoniale'!D:D,MATCH(A41,'Stato patrimoniale'!A:A,0))</f>
        <v>O</v>
      </c>
      <c r="D41">
        <v>44.84375</v>
      </c>
      <c r="E41">
        <v>-6.40625</v>
      </c>
      <c r="F41" s="91">
        <v>45301</v>
      </c>
      <c r="G41" t="s">
        <v>582</v>
      </c>
      <c r="H41" t="str">
        <f>INDEX('Stato patrimoniale'!Q:Q,MATCH(A41,'Stato patrimoniale'!A:A,0))</f>
        <v>Fineco</v>
      </c>
      <c r="I41" t="str">
        <f t="shared" si="0"/>
        <v>Fineco</v>
      </c>
    </row>
    <row r="42" spans="1:9" x14ac:dyDescent="0.25">
      <c r="A42">
        <v>19</v>
      </c>
      <c r="B42" t="str">
        <f>INDEX('Stato patrimoniale'!C:C,MATCH(A42,'Stato patrimoniale'!A:A,0))</f>
        <v>Enel</v>
      </c>
      <c r="C42" t="str">
        <f>INDEX('Stato patrimoniale'!D:D,MATCH(A42,'Stato patrimoniale'!A:A,0))</f>
        <v>A</v>
      </c>
      <c r="D42">
        <v>6.3639999999999999</v>
      </c>
      <c r="E42">
        <v>-2.2359999999999998</v>
      </c>
      <c r="F42" s="91">
        <v>45315</v>
      </c>
      <c r="G42" t="s">
        <v>582</v>
      </c>
      <c r="H42" t="str">
        <f>INDEX('Stato patrimoniale'!Q:Q,MATCH(A42,'Stato patrimoniale'!A:A,0))</f>
        <v>Fineco-C</v>
      </c>
      <c r="I42" t="str">
        <f t="shared" si="0"/>
        <v>Fineco-C</v>
      </c>
    </row>
    <row r="43" spans="1:9" x14ac:dyDescent="0.25">
      <c r="A43">
        <v>11</v>
      </c>
      <c r="B43" t="str">
        <f>INDEX('Stato patrimoniale'!C:C,MATCH(A43,'Stato patrimoniale'!A:A,0))</f>
        <v>USA-15FB26 6</v>
      </c>
      <c r="C43" t="str">
        <f>INDEX('Stato patrimoniale'!D:D,MATCH(A43,'Stato patrimoniale'!A:A,0))</f>
        <v>O</v>
      </c>
      <c r="D43">
        <v>122.17625</v>
      </c>
      <c r="E43">
        <v>-17.453749999999999</v>
      </c>
      <c r="F43" s="91">
        <v>45338</v>
      </c>
      <c r="G43" t="s">
        <v>582</v>
      </c>
      <c r="H43" t="str">
        <f>INDEX('Stato patrimoniale'!Q:Q,MATCH(A43,'Stato patrimoniale'!A:A,0))</f>
        <v>Fineco-C</v>
      </c>
      <c r="I43" t="str">
        <f t="shared" si="0"/>
        <v>Fineco-C</v>
      </c>
    </row>
    <row r="44" spans="1:9" x14ac:dyDescent="0.25">
      <c r="A44">
        <v>21</v>
      </c>
      <c r="B44" t="str">
        <f>INDEX('Stato patrimoniale'!C:C,MATCH(A44,'Stato patrimoniale'!A:A,0))</f>
        <v>Apple</v>
      </c>
      <c r="C44" t="str">
        <f>INDEX('Stato patrimoniale'!D:D,MATCH(A44,'Stato patrimoniale'!A:A,0))</f>
        <v>A</v>
      </c>
      <c r="D44">
        <v>0.28120000000000001</v>
      </c>
      <c r="E44">
        <v>-9.8799999999999999E-2</v>
      </c>
      <c r="F44" s="91">
        <v>45345</v>
      </c>
      <c r="G44" t="s">
        <v>582</v>
      </c>
      <c r="H44" t="str">
        <f>INDEX('Stato patrimoniale'!Q:Q,MATCH(A44,'Stato patrimoniale'!A:A,0))</f>
        <v>Fineco-C</v>
      </c>
      <c r="I44" t="str">
        <f t="shared" si="0"/>
        <v>Fineco-C</v>
      </c>
    </row>
    <row r="45" spans="1:9" x14ac:dyDescent="0.25">
      <c r="A45">
        <v>23</v>
      </c>
      <c r="B45" t="str">
        <f>INDEX('Stato patrimoniale'!C:C,MATCH(A45,'Stato patrimoniale'!A:A,0))</f>
        <v>Microsoft</v>
      </c>
      <c r="C45" t="str">
        <f>INDEX('Stato patrimoniale'!D:D,MATCH(A45,'Stato patrimoniale'!A:A,0))</f>
        <v>A</v>
      </c>
      <c r="D45">
        <v>32.870800000000003</v>
      </c>
      <c r="E45">
        <v>-11.549199999999999</v>
      </c>
      <c r="F45" s="91">
        <v>45372</v>
      </c>
      <c r="G45" t="s">
        <v>582</v>
      </c>
      <c r="H45" t="str">
        <f>INDEX('Stato patrimoniale'!Q:Q,MATCH(A45,'Stato patrimoniale'!A:A,0))</f>
        <v>Fineco-C</v>
      </c>
      <c r="I45" t="str">
        <f t="shared" si="0"/>
        <v>Fineco-C</v>
      </c>
    </row>
    <row r="46" spans="1:9" x14ac:dyDescent="0.25">
      <c r="A46">
        <v>20</v>
      </c>
      <c r="B46" t="str">
        <f>INDEX('Stato patrimoniale'!C:C,MATCH(A46,'Stato patrimoniale'!A:A,0))</f>
        <v>Eni</v>
      </c>
      <c r="C46" t="str">
        <f>INDEX('Stato patrimoniale'!D:D,MATCH(A46,'Stato patrimoniale'!A:A,0))</f>
        <v>A</v>
      </c>
      <c r="D46">
        <v>3.3743999999999996</v>
      </c>
      <c r="E46">
        <v>-1.1856</v>
      </c>
      <c r="F46" s="91">
        <v>45372</v>
      </c>
      <c r="G46" t="s">
        <v>582</v>
      </c>
      <c r="H46" t="str">
        <f>INDEX('Stato patrimoniale'!Q:Q,MATCH(A46,'Stato patrimoniale'!A:A,0))</f>
        <v>Fineco-C</v>
      </c>
      <c r="I46" t="str">
        <f t="shared" si="0"/>
        <v>Fineco-C</v>
      </c>
    </row>
    <row r="47" spans="1:9" x14ac:dyDescent="0.25">
      <c r="A47">
        <v>16</v>
      </c>
      <c r="B47" t="str">
        <f>INDEX('Stato patrimoniale'!C:C,MATCH(A47,'Stato patrimoniale'!A:A,0))</f>
        <v>STMicroElectronics</v>
      </c>
      <c r="C47" t="str">
        <f>INDEX('Stato patrimoniale'!D:D,MATCH(A47,'Stato patrimoniale'!A:A,0))</f>
        <v>A</v>
      </c>
      <c r="D47">
        <v>0.17759999999999998</v>
      </c>
      <c r="E47">
        <v>-6.2400000000000011E-2</v>
      </c>
      <c r="F47" s="91">
        <v>45372</v>
      </c>
      <c r="G47" t="s">
        <v>582</v>
      </c>
      <c r="H47" t="str">
        <f>INDEX('Stato patrimoniale'!Q:Q,MATCH(A47,'Stato patrimoniale'!A:A,0))</f>
        <v>Fineco-C</v>
      </c>
      <c r="I47" t="str">
        <f t="shared" si="0"/>
        <v>Fineco-C</v>
      </c>
    </row>
    <row r="48" spans="1:9" x14ac:dyDescent="0.25">
      <c r="A48">
        <v>5</v>
      </c>
      <c r="B48" t="str">
        <f>INDEX('Stato patrimoniale'!C:C,MATCH(A48,'Stato patrimoniale'!A:A,0))</f>
        <v>iShares Core S&amp;P 500 UCITS ETF USD (Dist)</v>
      </c>
      <c r="C48" t="str">
        <f>INDEX('Stato patrimoniale'!D:D,MATCH(A48,'Stato patrimoniale'!A:A,0))</f>
        <v>ETF</v>
      </c>
      <c r="D48">
        <v>2.5751999999999997</v>
      </c>
      <c r="E48">
        <v>-0.90480000000000027</v>
      </c>
      <c r="F48" s="91">
        <v>45379</v>
      </c>
      <c r="G48" t="s">
        <v>582</v>
      </c>
      <c r="H48" t="str">
        <f>INDEX('Stato patrimoniale'!Q:Q,MATCH(A48,'Stato patrimoniale'!A:A,0))</f>
        <v>Fineco-C</v>
      </c>
      <c r="I48" t="str">
        <f t="shared" si="0"/>
        <v>Fineco-C</v>
      </c>
    </row>
    <row r="49" spans="1:9" x14ac:dyDescent="0.25">
      <c r="A49">
        <v>3</v>
      </c>
      <c r="B49" t="str">
        <f>INDEX('Stato patrimoniale'!C:C,MATCH(A49,'Stato patrimoniale'!A:A,0))</f>
        <v>Vanguard FTSE Emerging Markets UCITS ETF (USD) Dis</v>
      </c>
      <c r="C49" t="str">
        <f>INDEX('Stato patrimoniale'!D:D,MATCH(A49,'Stato patrimoniale'!A:A,0))</f>
        <v>ETF</v>
      </c>
      <c r="D49">
        <v>1.0286</v>
      </c>
      <c r="E49">
        <v>-0.36139999999999994</v>
      </c>
      <c r="F49" s="91">
        <v>45379</v>
      </c>
      <c r="G49" t="s">
        <v>582</v>
      </c>
      <c r="H49" t="str">
        <f>INDEX('Stato patrimoniale'!Q:Q,MATCH(A49,'Stato patrimoniale'!A:A,0))</f>
        <v>Fineco-C</v>
      </c>
      <c r="I49" t="str">
        <f t="shared" si="0"/>
        <v>Fineco-C</v>
      </c>
    </row>
    <row r="50" spans="1:9" x14ac:dyDescent="0.25">
      <c r="A50">
        <v>12</v>
      </c>
      <c r="B50" t="str">
        <f>INDEX('Stato patrimoniale'!C:C,MATCH(A50,'Stato patrimoniale'!A:A,0))</f>
        <v>BTP-1OT53 4,5</v>
      </c>
      <c r="C50" t="str">
        <f>INDEX('Stato patrimoniale'!D:D,MATCH(A50,'Stato patrimoniale'!A:A,0))</f>
        <v>O</v>
      </c>
      <c r="D50">
        <v>98.4375</v>
      </c>
      <c r="E50">
        <v>-14.0625</v>
      </c>
      <c r="F50" s="91">
        <v>45384</v>
      </c>
      <c r="G50" t="s">
        <v>582</v>
      </c>
      <c r="H50" t="str">
        <f>INDEX('Stato patrimoniale'!Q:Q,MATCH(A50,'Stato patrimoniale'!A:A,0))</f>
        <v>Fineco-C</v>
      </c>
      <c r="I50" t="str">
        <f t="shared" si="0"/>
        <v>Fineco-C</v>
      </c>
    </row>
    <row r="51" spans="1:9" x14ac:dyDescent="0.25">
      <c r="A51">
        <v>25</v>
      </c>
      <c r="B51" t="str">
        <f>INDEX('Stato patrimoniale'!C:C,MATCH(A51,'Stato patrimoniale'!A:A,0))</f>
        <v>BTP-29ST25 3,60</v>
      </c>
      <c r="C51" t="str">
        <f>INDEX('Stato patrimoniale'!D:D,MATCH(A51,'Stato patrimoniale'!A:A,0))</f>
        <v>O</v>
      </c>
      <c r="D51">
        <v>78.75</v>
      </c>
      <c r="E51">
        <v>-11.25</v>
      </c>
      <c r="F51" s="91">
        <v>45384</v>
      </c>
      <c r="G51" t="s">
        <v>582</v>
      </c>
      <c r="H51" t="str">
        <f>INDEX('Stato patrimoniale'!Q:Q,MATCH(A51,'Stato patrimoniale'!A:A,0))</f>
        <v>Fineco-C</v>
      </c>
      <c r="I51" t="str">
        <f t="shared" si="0"/>
        <v>Fineco-C</v>
      </c>
    </row>
    <row r="52" spans="1:9" x14ac:dyDescent="0.25">
      <c r="A52">
        <v>29</v>
      </c>
      <c r="B52" t="str">
        <f>INDEX('Stato patrimoniale'!C:C,MATCH(A52,'Stato patrimoniale'!A:A,0))</f>
        <v>BTP-VAL 10OT28SU CUM</v>
      </c>
      <c r="C52" t="str">
        <f>INDEX('Stato patrimoniale'!D:D,MATCH(A52,'Stato patrimoniale'!A:A,0))</f>
        <v>O</v>
      </c>
      <c r="D52">
        <v>44.84375</v>
      </c>
      <c r="E52">
        <v>-6.40625</v>
      </c>
      <c r="F52" s="91">
        <v>45392</v>
      </c>
      <c r="G52" t="s">
        <v>582</v>
      </c>
      <c r="H52" t="str">
        <f>INDEX('Stato patrimoniale'!Q:Q,MATCH(A52,'Stato patrimoniale'!A:A,0))</f>
        <v>Fineco</v>
      </c>
      <c r="I52" t="str">
        <f t="shared" si="0"/>
        <v>Fineco</v>
      </c>
    </row>
    <row r="53" spans="1:9" x14ac:dyDescent="0.25">
      <c r="A53">
        <v>14</v>
      </c>
      <c r="B53" t="str">
        <f>INDEX('Stato patrimoniale'!C:C,MATCH(A53,'Stato patrimoniale'!A:A,0))</f>
        <v>Unicredit</v>
      </c>
      <c r="C53" t="str">
        <f>INDEX('Stato patrimoniale'!D:D,MATCH(A53,'Stato patrimoniale'!A:A,0))</f>
        <v>A</v>
      </c>
      <c r="D53">
        <v>14.674199999999999</v>
      </c>
      <c r="E53">
        <v>-5.1557999999999993</v>
      </c>
      <c r="F53" s="91">
        <v>45406</v>
      </c>
      <c r="G53" t="s">
        <v>582</v>
      </c>
      <c r="H53" t="str">
        <f>INDEX('Stato patrimoniale'!Q:Q,MATCH(A53,'Stato patrimoniale'!A:A,0))</f>
        <v>Fineco-C</v>
      </c>
      <c r="I53" t="str">
        <f t="shared" si="0"/>
        <v>Fineco-C</v>
      </c>
    </row>
    <row r="54" spans="1:9" x14ac:dyDescent="0.25">
      <c r="A54">
        <v>26</v>
      </c>
      <c r="B54" t="str">
        <f>INDEX('Stato patrimoniale'!C:C,MATCH(A54,'Stato patrimoniale'!A:A,0))</f>
        <v>USA-15MG25 2,125</v>
      </c>
      <c r="C54" t="str">
        <f>INDEX('Stato patrimoniale'!D:D,MATCH(A54,'Stato patrimoniale'!A:A,0))</f>
        <v>O</v>
      </c>
      <c r="D54">
        <v>42.787500000000001</v>
      </c>
      <c r="E54">
        <v>-6.1124999999999972</v>
      </c>
      <c r="F54" s="91">
        <v>45428</v>
      </c>
      <c r="G54" t="s">
        <v>582</v>
      </c>
      <c r="H54" t="str">
        <f>INDEX('Stato patrimoniale'!Q:Q,MATCH(A54,'Stato patrimoniale'!A:A,0))</f>
        <v>Fineco-C</v>
      </c>
      <c r="I54" t="str">
        <f t="shared" si="0"/>
        <v>Fineco-C</v>
      </c>
    </row>
    <row r="55" spans="1:9" x14ac:dyDescent="0.25">
      <c r="A55">
        <v>21</v>
      </c>
      <c r="B55" t="str">
        <f>INDEX('Stato patrimoniale'!C:C,MATCH(A55,'Stato patrimoniale'!A:A,0))</f>
        <v>Apple</v>
      </c>
      <c r="C55" t="str">
        <f>INDEX('Stato patrimoniale'!D:D,MATCH(A55,'Stato patrimoniale'!A:A,0))</f>
        <v>A</v>
      </c>
      <c r="D55">
        <v>0.29600000000000004</v>
      </c>
      <c r="E55">
        <v>-0.10399999999999998</v>
      </c>
      <c r="F55" s="91">
        <v>45432</v>
      </c>
      <c r="G55" t="s">
        <v>582</v>
      </c>
      <c r="H55" t="str">
        <f>INDEX('Stato patrimoniale'!Q:Q,MATCH(A55,'Stato patrimoniale'!A:A,0))</f>
        <v>Fineco-C</v>
      </c>
      <c r="I55" t="str">
        <f t="shared" si="0"/>
        <v>Fineco-C</v>
      </c>
    </row>
    <row r="56" spans="1:9" x14ac:dyDescent="0.25">
      <c r="A56">
        <v>17</v>
      </c>
      <c r="B56" t="str">
        <f>INDEX('Stato patrimoniale'!C:C,MATCH(A56,'Stato patrimoniale'!A:A,0))</f>
        <v>Intesa San Paolo</v>
      </c>
      <c r="C56" t="str">
        <f>INDEX('Stato patrimoniale'!D:D,MATCH(A56,'Stato patrimoniale'!A:A,0))</f>
        <v>A</v>
      </c>
      <c r="D56">
        <v>11.247999999999999</v>
      </c>
      <c r="E56">
        <v>-3.952</v>
      </c>
      <c r="F56" s="91">
        <v>45434</v>
      </c>
      <c r="G56" t="s">
        <v>582</v>
      </c>
      <c r="H56" t="str">
        <f>INDEX('Stato patrimoniale'!Q:Q,MATCH(A56,'Stato patrimoniale'!A:A,0))</f>
        <v>Fineco-C</v>
      </c>
      <c r="I56" t="str">
        <f t="shared" si="0"/>
        <v>Fineco-C</v>
      </c>
    </row>
    <row r="57" spans="1:9" x14ac:dyDescent="0.25">
      <c r="A57">
        <v>20</v>
      </c>
      <c r="B57" t="str">
        <f>INDEX('Stato patrimoniale'!C:C,MATCH(A57,'Stato patrimoniale'!A:A,0))</f>
        <v>Eni</v>
      </c>
      <c r="C57" t="str">
        <f>INDEX('Stato patrimoniale'!D:D,MATCH(A57,'Stato patrimoniale'!A:A,0))</f>
        <v>A</v>
      </c>
      <c r="D57">
        <v>3.2338</v>
      </c>
      <c r="E57">
        <v>-1.1362000000000001</v>
      </c>
      <c r="F57" s="91">
        <v>45434</v>
      </c>
      <c r="G57" t="s">
        <v>582</v>
      </c>
      <c r="H57" t="str">
        <f>INDEX('Stato patrimoniale'!Q:Q,MATCH(A57,'Stato patrimoniale'!A:A,0))</f>
        <v>Fineco-C</v>
      </c>
      <c r="I57" t="str">
        <f t="shared" si="0"/>
        <v>Fineco-C</v>
      </c>
    </row>
    <row r="58" spans="1:9" x14ac:dyDescent="0.25">
      <c r="A58">
        <v>13</v>
      </c>
      <c r="B58" t="str">
        <f>INDEX('Stato patrimoniale'!C:C,MATCH(A58,'Stato patrimoniale'!A:A,0))</f>
        <v>CNH Industrial</v>
      </c>
      <c r="C58" t="str">
        <f>INDEX('Stato patrimoniale'!D:D,MATCH(A58,'Stato patrimoniale'!A:A,0))</f>
        <v>A</v>
      </c>
      <c r="D58">
        <v>5.8015999999999996</v>
      </c>
      <c r="E58">
        <v>-2.0384000000000002</v>
      </c>
      <c r="F58" s="91">
        <v>45441</v>
      </c>
      <c r="G58" t="s">
        <v>582</v>
      </c>
      <c r="H58" t="str">
        <f>INDEX('Stato patrimoniale'!Q:Q,MATCH(A58,'Stato patrimoniale'!A:A,0))</f>
        <v>Fineco-C</v>
      </c>
      <c r="I58" t="str">
        <f t="shared" si="0"/>
        <v>Fineco-C</v>
      </c>
    </row>
    <row r="59" spans="1:9" x14ac:dyDescent="0.25">
      <c r="A59">
        <v>4</v>
      </c>
      <c r="B59" t="str">
        <f>INDEX('Stato patrimoniale'!C:C,MATCH(A59,'Stato patrimoniale'!A:A,0))</f>
        <v>iShares Global Clean Energy UCITS ETF USD (Dist)</v>
      </c>
      <c r="C59" t="str">
        <f>INDEX('Stato patrimoniale'!D:D,MATCH(A59,'Stato patrimoniale'!A:A,0))</f>
        <v>ETF</v>
      </c>
      <c r="D59">
        <v>0.85099999999999998</v>
      </c>
      <c r="E59">
        <v>-0.29899999999999993</v>
      </c>
      <c r="F59" s="91">
        <v>45442</v>
      </c>
      <c r="G59" t="s">
        <v>582</v>
      </c>
      <c r="H59" t="str">
        <f>INDEX('Stato patrimoniale'!Q:Q,MATCH(A59,'Stato patrimoniale'!A:A,0))</f>
        <v>Fineco-C</v>
      </c>
      <c r="I59" t="str">
        <f t="shared" si="0"/>
        <v>Fineco-C</v>
      </c>
    </row>
    <row r="60" spans="1:9" x14ac:dyDescent="0.25">
      <c r="A60">
        <v>33</v>
      </c>
      <c r="B60" t="str">
        <f>INDEX('Stato patrimoniale'!C:C,MATCH(A60,'Stato patrimoniale'!A:A,0))</f>
        <v>BTP-VAL 5MZ30SU CUM</v>
      </c>
      <c r="C60" t="str">
        <f>INDEX('Stato patrimoniale'!D:D,MATCH(A60,'Stato patrimoniale'!A:A,0))</f>
        <v>O</v>
      </c>
      <c r="D60">
        <v>14.21875</v>
      </c>
      <c r="E60">
        <v>-2.03125</v>
      </c>
      <c r="F60" s="91">
        <v>45448</v>
      </c>
      <c r="G60" t="s">
        <v>582</v>
      </c>
      <c r="H60" t="str">
        <f>INDEX('Stato patrimoniale'!Q:Q,MATCH(A60,'Stato patrimoniale'!A:A,0))</f>
        <v>Fineco</v>
      </c>
      <c r="I60" t="str">
        <f t="shared" si="0"/>
        <v>Fineco</v>
      </c>
    </row>
    <row r="61" spans="1:9" x14ac:dyDescent="0.25">
      <c r="A61">
        <v>10</v>
      </c>
      <c r="B61" t="str">
        <f>INDEX('Stato patrimoniale'!C:C,MATCH(A61,'Stato patrimoniale'!A:A,0))</f>
        <v>BTP-VAL 13GN27SU CUM</v>
      </c>
      <c r="C61" t="str">
        <f>INDEX('Stato patrimoniale'!D:D,MATCH(A61,'Stato patrimoniale'!A:A,0))</f>
        <v>O</v>
      </c>
      <c r="D61">
        <v>142.1875</v>
      </c>
      <c r="E61">
        <v>-20.3125</v>
      </c>
      <c r="F61" s="91">
        <v>45455</v>
      </c>
      <c r="G61" t="s">
        <v>582</v>
      </c>
      <c r="H61" t="str">
        <f>INDEX('Stato patrimoniale'!Q:Q,MATCH(A61,'Stato patrimoniale'!A:A,0))</f>
        <v>Fineco-C</v>
      </c>
      <c r="I61" t="str">
        <f t="shared" si="0"/>
        <v>Fineco-C</v>
      </c>
    </row>
    <row r="62" spans="1:9" x14ac:dyDescent="0.25">
      <c r="A62">
        <v>23</v>
      </c>
      <c r="B62" t="str">
        <f>INDEX('Stato patrimoniale'!C:C,MATCH(A62,'Stato patrimoniale'!A:A,0))</f>
        <v>Microsoft</v>
      </c>
      <c r="C62" t="str">
        <f>INDEX('Stato patrimoniale'!D:D,MATCH(A62,'Stato patrimoniale'!A:A,0))</f>
        <v>A</v>
      </c>
      <c r="D62">
        <v>33.462800000000001</v>
      </c>
      <c r="E62">
        <v>-11.757199999999997</v>
      </c>
      <c r="F62" s="91">
        <v>45462</v>
      </c>
      <c r="G62" t="s">
        <v>582</v>
      </c>
      <c r="H62" t="str">
        <f>INDEX('Stato patrimoniale'!Q:Q,MATCH(A62,'Stato patrimoniale'!A:A,0))</f>
        <v>Fineco-C</v>
      </c>
      <c r="I62" t="str">
        <f t="shared" si="0"/>
        <v>Fineco-C</v>
      </c>
    </row>
    <row r="63" spans="1:9" x14ac:dyDescent="0.25">
      <c r="A63">
        <v>6</v>
      </c>
      <c r="B63" t="str">
        <f>INDEX('Stato patrimoniale'!C:C,MATCH(A63,'Stato patrimoniale'!A:A,0))</f>
        <v>iShares Core S&amp;P 500 UCITS ETF USD (Dist)</v>
      </c>
      <c r="C63" t="str">
        <f>INDEX('Stato patrimoniale'!D:D,MATCH(A63,'Stato patrimoniale'!A:A,0))</f>
        <v>ETF</v>
      </c>
      <c r="D63">
        <v>2.516</v>
      </c>
      <c r="E63">
        <v>-0.8839999999999999</v>
      </c>
      <c r="F63" s="91">
        <v>45469</v>
      </c>
      <c r="G63" t="s">
        <v>582</v>
      </c>
      <c r="H63" t="str">
        <f>INDEX('Stato patrimoniale'!Q:Q,MATCH(A63,'Stato patrimoniale'!A:A,0))</f>
        <v>Fineco-C</v>
      </c>
      <c r="I63" t="str">
        <f t="shared" si="0"/>
        <v>Fineco-C</v>
      </c>
    </row>
    <row r="64" spans="1:9" x14ac:dyDescent="0.25">
      <c r="A64">
        <v>3</v>
      </c>
      <c r="B64" t="str">
        <f>INDEX('Stato patrimoniale'!C:C,MATCH(A64,'Stato patrimoniale'!A:A,0))</f>
        <v>Vanguard FTSE Emerging Markets UCITS ETF (USD) Dis</v>
      </c>
      <c r="C64" t="str">
        <f>INDEX('Stato patrimoniale'!D:D,MATCH(A64,'Stato patrimoniale'!A:A,0))</f>
        <v>ETF</v>
      </c>
      <c r="D64">
        <v>3.3818000000000001</v>
      </c>
      <c r="E64">
        <v>-1.1882000000000001</v>
      </c>
      <c r="F64" s="91">
        <v>45469</v>
      </c>
      <c r="G64" t="s">
        <v>582</v>
      </c>
      <c r="H64" t="str">
        <f>INDEX('Stato patrimoniale'!Q:Q,MATCH(A64,'Stato patrimoniale'!A:A,0))</f>
        <v>Fineco-C</v>
      </c>
      <c r="I64" t="str">
        <f t="shared" si="0"/>
        <v>Fineco-C</v>
      </c>
    </row>
    <row r="65" spans="1:9" x14ac:dyDescent="0.25">
      <c r="A65">
        <v>16</v>
      </c>
      <c r="B65" t="str">
        <f>INDEX('Stato patrimoniale'!C:C,MATCH(A65,'Stato patrimoniale'!A:A,0))</f>
        <v>STMicroElectronics</v>
      </c>
      <c r="C65" t="str">
        <f>INDEX('Stato patrimoniale'!D:D,MATCH(A65,'Stato patrimoniale'!A:A,0))</f>
        <v>A</v>
      </c>
      <c r="D65">
        <v>0.26639999999999997</v>
      </c>
      <c r="E65">
        <v>-9.3600000000000017E-2</v>
      </c>
      <c r="F65" s="91">
        <v>45469</v>
      </c>
      <c r="G65" t="s">
        <v>582</v>
      </c>
      <c r="H65" t="str">
        <f>INDEX('Stato patrimoniale'!Q:Q,MATCH(A65,'Stato patrimoniale'!A:A,0))</f>
        <v>Fineco-C</v>
      </c>
      <c r="I65" t="str">
        <f t="shared" si="0"/>
        <v>Fineco-C</v>
      </c>
    </row>
    <row r="66" spans="1:9" x14ac:dyDescent="0.25">
      <c r="A66">
        <v>15</v>
      </c>
      <c r="B66" t="str">
        <f>INDEX('Stato patrimoniale'!C:C,MATCH(A66,'Stato patrimoniale'!A:A,0))</f>
        <v>Poste Italiane</v>
      </c>
      <c r="C66" t="str">
        <f>INDEX('Stato patrimoniale'!D:D,MATCH(A66,'Stato patrimoniale'!A:A,0))</f>
        <v>A</v>
      </c>
      <c r="D66">
        <v>10.4192</v>
      </c>
      <c r="E66">
        <v>-3.6608000000000001</v>
      </c>
      <c r="F66" s="91">
        <v>45469</v>
      </c>
      <c r="G66" t="s">
        <v>582</v>
      </c>
      <c r="H66" t="str">
        <f>INDEX('Stato patrimoniale'!Q:Q,MATCH(A66,'Stato patrimoniale'!A:A,0))</f>
        <v>Fineco-C</v>
      </c>
      <c r="I66" t="str">
        <f t="shared" si="0"/>
        <v>Fineco-C</v>
      </c>
    </row>
    <row r="67" spans="1:9" x14ac:dyDescent="0.25">
      <c r="A67">
        <v>29</v>
      </c>
      <c r="B67" t="str">
        <f>INDEX('Stato patrimoniale'!C:C,MATCH(A67,'Stato patrimoniale'!A:A,0))</f>
        <v>BTP-VAL 10OT28SU CUM</v>
      </c>
      <c r="C67" t="str">
        <f>INDEX('Stato patrimoniale'!D:D,MATCH(A67,'Stato patrimoniale'!A:A,0))</f>
        <v>O</v>
      </c>
      <c r="D67">
        <v>44.84375</v>
      </c>
      <c r="E67">
        <v>-6.40625</v>
      </c>
      <c r="F67" s="91">
        <v>45483</v>
      </c>
      <c r="G67" t="s">
        <v>582</v>
      </c>
      <c r="H67" t="str">
        <f>INDEX('Stato patrimoniale'!Q:Q,MATCH(A67,'Stato patrimoniale'!A:A,0))</f>
        <v>Fineco</v>
      </c>
      <c r="I67" t="str">
        <f t="shared" ref="I67:I105" si="1">H67</f>
        <v>Fineco</v>
      </c>
    </row>
    <row r="68" spans="1:9" x14ac:dyDescent="0.25">
      <c r="A68">
        <v>19</v>
      </c>
      <c r="B68" t="str">
        <f>INDEX('Stato patrimoniale'!C:C,MATCH(A68,'Stato patrimoniale'!A:A,0))</f>
        <v>Enel</v>
      </c>
      <c r="C68" t="str">
        <f>INDEX('Stato patrimoniale'!D:D,MATCH(A68,'Stato patrimoniale'!A:A,0))</f>
        <v>A</v>
      </c>
      <c r="D68">
        <v>6.3639999999999999</v>
      </c>
      <c r="E68">
        <v>-2.2359999999999998</v>
      </c>
      <c r="F68" s="91">
        <v>45497</v>
      </c>
      <c r="G68" t="s">
        <v>582</v>
      </c>
      <c r="H68" t="str">
        <f>INDEX('Stato patrimoniale'!Q:Q,MATCH(A68,'Stato patrimoniale'!A:A,0))</f>
        <v>Fineco-C</v>
      </c>
      <c r="I68" t="str">
        <f t="shared" si="1"/>
        <v>Fineco-C</v>
      </c>
    </row>
    <row r="69" spans="1:9" x14ac:dyDescent="0.25">
      <c r="A69">
        <v>37</v>
      </c>
      <c r="B69" t="str">
        <f>INDEX('Stato patrimoniale'!C:C,MATCH(A69,'Stato patrimoniale'!A:A,0))</f>
        <v>BTP-28GE26 3,2</v>
      </c>
      <c r="C69" t="str">
        <f>INDEX('Stato patrimoniale'!D:D,MATCH(A69,'Stato patrimoniale'!A:A,0))</f>
        <v>O</v>
      </c>
      <c r="D69">
        <v>23.388750000000002</v>
      </c>
      <c r="E69">
        <v>-3.3412499999999987</v>
      </c>
      <c r="F69" s="91">
        <v>45502</v>
      </c>
      <c r="G69" t="s">
        <v>582</v>
      </c>
      <c r="H69" t="str">
        <f>INDEX('Stato patrimoniale'!Q:Q,MATCH(A69,'Stato patrimoniale'!A:A,0))</f>
        <v>Fineco</v>
      </c>
      <c r="I69" t="str">
        <f t="shared" si="1"/>
        <v>Fineco</v>
      </c>
    </row>
    <row r="70" spans="1:9" x14ac:dyDescent="0.25">
      <c r="A70">
        <v>31</v>
      </c>
      <c r="B70" t="str">
        <f>INDEX('Stato patrimoniale'!C:C,MATCH(A70,'Stato patrimoniale'!A:A,0))</f>
        <v>SPAIN-30LG33 2,35</v>
      </c>
      <c r="C70" t="str">
        <f>INDEX('Stato patrimoniale'!D:D,MATCH(A70,'Stato patrimoniale'!A:A,0))</f>
        <v>O</v>
      </c>
      <c r="D70">
        <v>41.125</v>
      </c>
      <c r="E70">
        <v>-5.875</v>
      </c>
      <c r="F70" s="91">
        <v>45503</v>
      </c>
      <c r="G70" t="s">
        <v>582</v>
      </c>
      <c r="H70" t="str">
        <f>INDEX('Stato patrimoniale'!Q:Q,MATCH(A70,'Stato patrimoniale'!A:A,0))</f>
        <v>Fineco</v>
      </c>
      <c r="I70" t="str">
        <f t="shared" si="1"/>
        <v>Fineco</v>
      </c>
    </row>
    <row r="71" spans="1:9" x14ac:dyDescent="0.25">
      <c r="A71">
        <v>11</v>
      </c>
      <c r="B71" t="str">
        <f>INDEX('Stato patrimoniale'!C:C,MATCH(A71,'Stato patrimoniale'!A:A,0))</f>
        <v>USA-15FB26 6</v>
      </c>
      <c r="C71" t="str">
        <f>INDEX('Stato patrimoniale'!D:D,MATCH(A71,'Stato patrimoniale'!A:A,0))</f>
        <v>O</v>
      </c>
      <c r="D71">
        <v>119.11375</v>
      </c>
      <c r="E71">
        <v>-17.016249999999999</v>
      </c>
      <c r="F71" s="91">
        <v>45519</v>
      </c>
      <c r="G71" t="s">
        <v>582</v>
      </c>
      <c r="H71" t="str">
        <f>INDEX('Stato patrimoniale'!Q:Q,MATCH(A71,'Stato patrimoniale'!A:A,0))</f>
        <v>Fineco-C</v>
      </c>
      <c r="I71" t="str">
        <f t="shared" si="1"/>
        <v>Fineco-C</v>
      </c>
    </row>
    <row r="72" spans="1:9" x14ac:dyDescent="0.25">
      <c r="A72">
        <v>21</v>
      </c>
      <c r="B72" t="str">
        <f>INDEX('Stato patrimoniale'!C:C,MATCH(A72,'Stato patrimoniale'!A:A,0))</f>
        <v>Apple</v>
      </c>
      <c r="C72" t="str">
        <f>INDEX('Stato patrimoniale'!D:D,MATCH(A72,'Stato patrimoniale'!A:A,0))</f>
        <v>A</v>
      </c>
      <c r="D72">
        <v>0.28860000000000002</v>
      </c>
      <c r="E72">
        <v>-0.10139999999999999</v>
      </c>
      <c r="F72" s="91">
        <v>45523</v>
      </c>
      <c r="G72" t="s">
        <v>582</v>
      </c>
      <c r="H72" t="str">
        <f>INDEX('Stato patrimoniale'!Q:Q,MATCH(A72,'Stato patrimoniale'!A:A,0))</f>
        <v>Fineco-C</v>
      </c>
      <c r="I72" t="str">
        <f t="shared" si="1"/>
        <v>Fineco-C</v>
      </c>
    </row>
    <row r="73" spans="1:9" x14ac:dyDescent="0.25">
      <c r="A73">
        <v>33</v>
      </c>
      <c r="B73" t="str">
        <f>INDEX('Stato patrimoniale'!C:C,MATCH(A73,'Stato patrimoniale'!A:A,0))</f>
        <v>BTP-VAL 5MZ30SU CUM</v>
      </c>
      <c r="C73" t="str">
        <f>INDEX('Stato patrimoniale'!D:D,MATCH(A73,'Stato patrimoniale'!A:A,0))</f>
        <v>O</v>
      </c>
      <c r="D73">
        <v>14.21875</v>
      </c>
      <c r="E73">
        <v>-2.03125</v>
      </c>
      <c r="F73" s="91">
        <v>45540</v>
      </c>
      <c r="G73" t="s">
        <v>582</v>
      </c>
      <c r="H73" t="str">
        <f>INDEX('Stato patrimoniale'!Q:Q,MATCH(A73,'Stato patrimoniale'!A:A,0))</f>
        <v>Fineco</v>
      </c>
      <c r="I73" t="str">
        <f t="shared" si="1"/>
        <v>Fineco</v>
      </c>
    </row>
    <row r="74" spans="1:9" x14ac:dyDescent="0.25">
      <c r="A74">
        <v>23</v>
      </c>
      <c r="B74" t="str">
        <f>INDEX('Stato patrimoniale'!C:C,MATCH(A74,'Stato patrimoniale'!A:A,0))</f>
        <v>Microsoft</v>
      </c>
      <c r="C74" t="str">
        <f>INDEX('Stato patrimoniale'!D:D,MATCH(A74,'Stato patrimoniale'!A:A,0))</f>
        <v>A</v>
      </c>
      <c r="D74">
        <v>32.19</v>
      </c>
      <c r="E74">
        <v>-11.310000000000002</v>
      </c>
      <c r="F74" s="91">
        <v>45553</v>
      </c>
      <c r="G74" t="s">
        <v>582</v>
      </c>
      <c r="H74" t="str">
        <f>INDEX('Stato patrimoniale'!Q:Q,MATCH(A74,'Stato patrimoniale'!A:A,0))</f>
        <v>Fineco-C</v>
      </c>
      <c r="I74" t="str">
        <f t="shared" si="1"/>
        <v>Fineco-C</v>
      </c>
    </row>
    <row r="75" spans="1:9" x14ac:dyDescent="0.25">
      <c r="A75">
        <v>6</v>
      </c>
      <c r="B75" t="str">
        <f>INDEX('Stato patrimoniale'!C:C,MATCH(A75,'Stato patrimoniale'!A:A,0))</f>
        <v>iShares Core S&amp;P 500 UCITS ETF USD (Dist)</v>
      </c>
      <c r="C75" t="str">
        <f>INDEX('Stato patrimoniale'!D:D,MATCH(A75,'Stato patrimoniale'!A:A,0))</f>
        <v>ETF</v>
      </c>
      <c r="D75">
        <v>2.4863999999999997</v>
      </c>
      <c r="E75">
        <v>-0.87360000000000015</v>
      </c>
      <c r="F75" s="91">
        <v>45560</v>
      </c>
      <c r="G75" t="s">
        <v>582</v>
      </c>
      <c r="H75" t="str">
        <f>INDEX('Stato patrimoniale'!Q:Q,MATCH(A75,'Stato patrimoniale'!A:A,0))</f>
        <v>Fineco-C</v>
      </c>
      <c r="I75" t="str">
        <f t="shared" si="1"/>
        <v>Fineco-C</v>
      </c>
    </row>
    <row r="76" spans="1:9" x14ac:dyDescent="0.25">
      <c r="A76">
        <v>3</v>
      </c>
      <c r="B76" t="str">
        <f>INDEX('Stato patrimoniale'!C:C,MATCH(A76,'Stato patrimoniale'!A:A,0))</f>
        <v>Vanguard FTSE Emerging Markets UCITS ETF (USD) Dis</v>
      </c>
      <c r="C76" t="str">
        <f>INDEX('Stato patrimoniale'!D:D,MATCH(A76,'Stato patrimoniale'!A:A,0))</f>
        <v>ETF</v>
      </c>
      <c r="D76">
        <v>4.2993999999999994</v>
      </c>
      <c r="E76">
        <v>-1.5106000000000002</v>
      </c>
      <c r="F76" s="91">
        <v>45560</v>
      </c>
      <c r="G76" t="s">
        <v>582</v>
      </c>
      <c r="H76" t="str">
        <f>INDEX('Stato patrimoniale'!Q:Q,MATCH(A76,'Stato patrimoniale'!A:A,0))</f>
        <v>Fineco-C</v>
      </c>
      <c r="I76" t="str">
        <f t="shared" si="1"/>
        <v>Fineco-C</v>
      </c>
    </row>
    <row r="77" spans="1:9" x14ac:dyDescent="0.25">
      <c r="A77">
        <v>20</v>
      </c>
      <c r="B77" t="str">
        <f>INDEX('Stato patrimoniale'!C:C,MATCH(A77,'Stato patrimoniale'!A:A,0))</f>
        <v>Eni</v>
      </c>
      <c r="C77" t="str">
        <f>INDEX('Stato patrimoniale'!D:D,MATCH(A77,'Stato patrimoniale'!A:A,0))</f>
        <v>A</v>
      </c>
      <c r="D77">
        <v>3.5149999999999997</v>
      </c>
      <c r="E77">
        <v>-1.2350000000000003</v>
      </c>
      <c r="F77" s="91">
        <v>45560</v>
      </c>
      <c r="G77" t="s">
        <v>582</v>
      </c>
      <c r="H77" t="str">
        <f>INDEX('Stato patrimoniale'!Q:Q,MATCH(A77,'Stato patrimoniale'!A:A,0))</f>
        <v>Fineco-C</v>
      </c>
      <c r="I77" t="str">
        <f t="shared" si="1"/>
        <v>Fineco-C</v>
      </c>
    </row>
    <row r="78" spans="1:9" x14ac:dyDescent="0.25">
      <c r="A78">
        <v>25</v>
      </c>
      <c r="B78" t="str">
        <f>INDEX('Stato patrimoniale'!C:C,MATCH(A78,'Stato patrimoniale'!A:A,0))</f>
        <v>BTP-29ST25 3,60</v>
      </c>
      <c r="C78" t="str">
        <f>INDEX('Stato patrimoniale'!D:D,MATCH(A78,'Stato patrimoniale'!A:A,0))</f>
        <v>O</v>
      </c>
      <c r="D78">
        <v>78.75</v>
      </c>
      <c r="E78">
        <v>-11.25</v>
      </c>
      <c r="F78" s="91">
        <v>45565</v>
      </c>
      <c r="G78" t="s">
        <v>582</v>
      </c>
      <c r="H78" t="str">
        <f>INDEX('Stato patrimoniale'!Q:Q,MATCH(A78,'Stato patrimoniale'!A:A,0))</f>
        <v>Fineco-C</v>
      </c>
      <c r="I78" t="str">
        <f t="shared" si="1"/>
        <v>Fineco-C</v>
      </c>
    </row>
    <row r="79" spans="1:9" x14ac:dyDescent="0.25">
      <c r="A79">
        <v>12</v>
      </c>
      <c r="B79" t="str">
        <f>INDEX('Stato patrimoniale'!C:C,MATCH(A79,'Stato patrimoniale'!A:A,0))</f>
        <v>BTP-1OT53 4,5</v>
      </c>
      <c r="C79" t="str">
        <f>INDEX('Stato patrimoniale'!D:D,MATCH(A79,'Stato patrimoniale'!A:A,0))</f>
        <v>O</v>
      </c>
      <c r="D79">
        <v>98.4375</v>
      </c>
      <c r="E79">
        <v>-14.0625</v>
      </c>
      <c r="F79" s="91">
        <v>45566</v>
      </c>
      <c r="G79" t="s">
        <v>582</v>
      </c>
      <c r="H79" t="str">
        <f>INDEX('Stato patrimoniale'!Q:Q,MATCH(A79,'Stato patrimoniale'!A:A,0))</f>
        <v>Fineco-C</v>
      </c>
      <c r="I79" t="str">
        <f t="shared" si="1"/>
        <v>Fineco-C</v>
      </c>
    </row>
    <row r="80" spans="1:9" x14ac:dyDescent="0.25">
      <c r="A80">
        <v>29</v>
      </c>
      <c r="B80" t="str">
        <f>INDEX('Stato patrimoniale'!C:C,MATCH(A80,'Stato patrimoniale'!A:A,0))</f>
        <v>BTP-VAL 10OT28SU CUM</v>
      </c>
      <c r="C80" t="str">
        <f>INDEX('Stato patrimoniale'!D:D,MATCH(A80,'Stato patrimoniale'!A:A,0))</f>
        <v>O</v>
      </c>
      <c r="D80">
        <v>44.84375</v>
      </c>
      <c r="E80">
        <v>-6.40625</v>
      </c>
      <c r="F80" s="91">
        <v>45575</v>
      </c>
      <c r="G80" t="s">
        <v>582</v>
      </c>
      <c r="H80" t="str">
        <f>INDEX('Stato patrimoniale'!Q:Q,MATCH(A80,'Stato patrimoniale'!A:A,0))</f>
        <v>Fineco</v>
      </c>
      <c r="I80" t="str">
        <f t="shared" si="1"/>
        <v>Fineco</v>
      </c>
    </row>
    <row r="81" spans="1:9" x14ac:dyDescent="0.25">
      <c r="A81">
        <v>26</v>
      </c>
      <c r="B81" t="str">
        <f>INDEX('Stato patrimoniale'!C:C,MATCH(A81,'Stato patrimoniale'!A:A,0))</f>
        <v>USA-15MG25 2,125</v>
      </c>
      <c r="C81" t="str">
        <f>INDEX('Stato patrimoniale'!D:D,MATCH(A81,'Stato patrimoniale'!A:A,0))</f>
        <v>O</v>
      </c>
      <c r="D81">
        <v>43.925000000000004</v>
      </c>
      <c r="E81">
        <v>-6.2749999999999986</v>
      </c>
      <c r="F81" s="91">
        <v>45611</v>
      </c>
      <c r="G81" t="s">
        <v>582</v>
      </c>
      <c r="H81" t="str">
        <f>INDEX('Stato patrimoniale'!Q:Q,MATCH(A81,'Stato patrimoniale'!A:A,0))</f>
        <v>Fineco-C</v>
      </c>
      <c r="I81" t="str">
        <f t="shared" si="1"/>
        <v>Fineco-C</v>
      </c>
    </row>
    <row r="82" spans="1:9" x14ac:dyDescent="0.25">
      <c r="A82">
        <v>17</v>
      </c>
      <c r="B82" t="str">
        <f>INDEX('Stato patrimoniale'!C:C,MATCH(A82,'Stato patrimoniale'!A:A,0))</f>
        <v>Intesa San Paolo</v>
      </c>
      <c r="C82" t="str">
        <f>INDEX('Stato patrimoniale'!D:D,MATCH(A82,'Stato patrimoniale'!A:A,0))</f>
        <v>A</v>
      </c>
      <c r="D82">
        <v>12.58</v>
      </c>
      <c r="E82">
        <v>-4.42</v>
      </c>
      <c r="F82" s="91">
        <v>45616</v>
      </c>
      <c r="G82" t="s">
        <v>582</v>
      </c>
      <c r="H82" t="str">
        <f>INDEX('Stato patrimoniale'!Q:Q,MATCH(A82,'Stato patrimoniale'!A:A,0))</f>
        <v>Fineco-C</v>
      </c>
      <c r="I82" t="str">
        <f t="shared" si="1"/>
        <v>Fineco-C</v>
      </c>
    </row>
    <row r="83" spans="1:9" x14ac:dyDescent="0.25">
      <c r="A83">
        <v>14</v>
      </c>
      <c r="B83" t="str">
        <f>INDEX('Stato patrimoniale'!C:C,MATCH(A83,'Stato patrimoniale'!A:A,0))</f>
        <v>Unicredit</v>
      </c>
      <c r="C83" t="str">
        <f>INDEX('Stato patrimoniale'!D:D,MATCH(A83,'Stato patrimoniale'!A:A,0))</f>
        <v>A</v>
      </c>
      <c r="D83">
        <v>7.5405999999999995</v>
      </c>
      <c r="E83">
        <v>-2.6494</v>
      </c>
      <c r="F83" s="91">
        <v>45616</v>
      </c>
      <c r="G83" t="s">
        <v>582</v>
      </c>
      <c r="H83" t="str">
        <f>INDEX('Stato patrimoniale'!Q:Q,MATCH(A83,'Stato patrimoniale'!A:A,0))</f>
        <v>Fineco-C</v>
      </c>
      <c r="I83" t="str">
        <f t="shared" si="1"/>
        <v>Fineco-C</v>
      </c>
    </row>
    <row r="84" spans="1:9" x14ac:dyDescent="0.25">
      <c r="A84">
        <v>20</v>
      </c>
      <c r="B84" t="str">
        <f>INDEX('Stato patrimoniale'!C:C,MATCH(A84,'Stato patrimoniale'!A:A,0))</f>
        <v>Eni</v>
      </c>
      <c r="C84" t="str">
        <f>INDEX('Stato patrimoniale'!D:D,MATCH(A84,'Stato patrimoniale'!A:A,0))</f>
        <v>A</v>
      </c>
      <c r="D84">
        <v>3.5149999999999997</v>
      </c>
      <c r="E84">
        <v>-1.2350000000000003</v>
      </c>
      <c r="F84" s="91">
        <v>45616</v>
      </c>
      <c r="G84" t="s">
        <v>582</v>
      </c>
      <c r="H84" t="str">
        <f>INDEX('Stato patrimoniale'!Q:Q,MATCH(A84,'Stato patrimoniale'!A:A,0))</f>
        <v>Fineco-C</v>
      </c>
      <c r="I84" t="str">
        <f t="shared" si="1"/>
        <v>Fineco-C</v>
      </c>
    </row>
    <row r="85" spans="1:9" x14ac:dyDescent="0.25">
      <c r="A85">
        <v>15</v>
      </c>
      <c r="B85" t="str">
        <f>INDEX('Stato patrimoniale'!C:C,MATCH(A85,'Stato patrimoniale'!A:A,0))</f>
        <v>Poste Italiane</v>
      </c>
      <c r="C85" t="str">
        <f>INDEX('Stato patrimoniale'!D:D,MATCH(A85,'Stato patrimoniale'!A:A,0))</f>
        <v>A</v>
      </c>
      <c r="D85">
        <v>6.1050000000000004</v>
      </c>
      <c r="E85">
        <v>-2.1449999999999996</v>
      </c>
      <c r="F85" s="91">
        <v>45616</v>
      </c>
      <c r="G85" t="s">
        <v>582</v>
      </c>
      <c r="H85" t="str">
        <f>INDEX('Stato patrimoniale'!Q:Q,MATCH(A85,'Stato patrimoniale'!A:A,0))</f>
        <v>Fineco-C</v>
      </c>
      <c r="I85" t="str">
        <f t="shared" si="1"/>
        <v>Fineco-C</v>
      </c>
    </row>
    <row r="86" spans="1:9" x14ac:dyDescent="0.25">
      <c r="A86">
        <v>21</v>
      </c>
      <c r="B86" t="str">
        <f>INDEX('Stato patrimoniale'!C:C,MATCH(A86,'Stato patrimoniale'!A:A,0))</f>
        <v>Apple</v>
      </c>
      <c r="C86" t="str">
        <f>INDEX('Stato patrimoniale'!D:D,MATCH(A86,'Stato patrimoniale'!A:A,0))</f>
        <v>A</v>
      </c>
      <c r="D86">
        <v>0.3034</v>
      </c>
      <c r="E86">
        <v>-0.10659999999999997</v>
      </c>
      <c r="F86" s="91">
        <v>45617</v>
      </c>
      <c r="G86" t="s">
        <v>582</v>
      </c>
      <c r="H86" t="str">
        <f>INDEX('Stato patrimoniale'!Q:Q,MATCH(A86,'Stato patrimoniale'!A:A,0))</f>
        <v>Fineco-C</v>
      </c>
      <c r="I86" t="str">
        <f t="shared" si="1"/>
        <v>Fineco-C</v>
      </c>
    </row>
    <row r="87" spans="1:9" x14ac:dyDescent="0.25">
      <c r="A87">
        <v>33</v>
      </c>
      <c r="B87" t="str">
        <f>INDEX('Stato patrimoniale'!C:C,MATCH(A87,'Stato patrimoniale'!A:A,0))</f>
        <v>BTP-VAL 5MZ30SU CUM</v>
      </c>
      <c r="C87" t="str">
        <f>INDEX('Stato patrimoniale'!D:D,MATCH(A87,'Stato patrimoniale'!A:A,0))</f>
        <v>O</v>
      </c>
      <c r="D87">
        <v>14.21875</v>
      </c>
      <c r="E87">
        <v>-2.03125</v>
      </c>
      <c r="F87" s="91">
        <v>45631</v>
      </c>
      <c r="G87" t="s">
        <v>582</v>
      </c>
      <c r="H87" t="str">
        <f>INDEX('Stato patrimoniale'!Q:Q,MATCH(A87,'Stato patrimoniale'!A:A,0))</f>
        <v>Fineco</v>
      </c>
      <c r="I87" t="str">
        <f t="shared" si="1"/>
        <v>Fineco</v>
      </c>
    </row>
    <row r="88" spans="1:9" x14ac:dyDescent="0.25">
      <c r="A88">
        <v>10</v>
      </c>
      <c r="B88" t="str">
        <f>INDEX('Stato patrimoniale'!C:C,MATCH(A88,'Stato patrimoniale'!A:A,0))</f>
        <v>BTP-VAL 13GN27SU CUM</v>
      </c>
      <c r="C88" t="str">
        <f>INDEX('Stato patrimoniale'!D:D,MATCH(A88,'Stato patrimoniale'!A:A,0))</f>
        <v>O</v>
      </c>
      <c r="D88">
        <v>142.1875</v>
      </c>
      <c r="E88">
        <v>-20.3125</v>
      </c>
      <c r="F88" s="91">
        <v>45639</v>
      </c>
      <c r="G88" t="s">
        <v>582</v>
      </c>
      <c r="H88" t="str">
        <f>INDEX('Stato patrimoniale'!Q:Q,MATCH(A88,'Stato patrimoniale'!A:A,0))</f>
        <v>Fineco-C</v>
      </c>
      <c r="I88" t="str">
        <f t="shared" si="1"/>
        <v>Fineco-C</v>
      </c>
    </row>
    <row r="89" spans="1:9" x14ac:dyDescent="0.25">
      <c r="A89">
        <v>45</v>
      </c>
      <c r="B89" t="str">
        <f>INDEX('Stato patrimoniale'!C:C,MATCH(A89,'Stato patrimoniale'!A:A,0))</f>
        <v>Amundi IS Fix. Mat. 2028 Euro Gov Bd Br. UCITS ETF Dis</v>
      </c>
      <c r="C89" t="str">
        <f>INDEX('Stato patrimoniale'!D:D,MATCH(A89,'Stato patrimoniale'!A:A,0))</f>
        <v>ETF</v>
      </c>
      <c r="D89">
        <v>25.9</v>
      </c>
      <c r="E89">
        <v>-9.1000000000000014</v>
      </c>
      <c r="F89" s="91">
        <v>45639</v>
      </c>
      <c r="G89" t="s">
        <v>582</v>
      </c>
      <c r="H89" t="str">
        <f>INDEX('Stato patrimoniale'!Q:Q,MATCH(A89,'Stato patrimoniale'!A:A,0))</f>
        <v>Fineco</v>
      </c>
      <c r="I89" t="str">
        <f t="shared" si="1"/>
        <v>Fineco</v>
      </c>
    </row>
    <row r="90" spans="1:9" x14ac:dyDescent="0.25">
      <c r="A90">
        <v>23</v>
      </c>
      <c r="B90" t="str">
        <f>INDEX('Stato patrimoniale'!C:C,MATCH(A90,'Stato patrimoniale'!A:A,0))</f>
        <v>Microsoft</v>
      </c>
      <c r="C90" t="str">
        <f>INDEX('Stato patrimoniale'!D:D,MATCH(A90,'Stato patrimoniale'!A:A,0))</f>
        <v>A</v>
      </c>
      <c r="D90">
        <v>37.799199999999999</v>
      </c>
      <c r="E90">
        <v>-13.280799999999999</v>
      </c>
      <c r="F90" s="91">
        <v>45642</v>
      </c>
      <c r="G90" t="s">
        <v>582</v>
      </c>
      <c r="H90" t="str">
        <f>INDEX('Stato patrimoniale'!Q:Q,MATCH(A90,'Stato patrimoniale'!A:A,0))</f>
        <v>Fineco-C</v>
      </c>
      <c r="I90" t="str">
        <f t="shared" si="1"/>
        <v>Fineco-C</v>
      </c>
    </row>
    <row r="91" spans="1:9" x14ac:dyDescent="0.25">
      <c r="A91">
        <v>3</v>
      </c>
      <c r="B91" t="str">
        <f>INDEX('Stato patrimoniale'!C:C,MATCH(A91,'Stato patrimoniale'!A:A,0))</f>
        <v>Vanguard FTSE Emerging Markets UCITS ETF (USD) Dis</v>
      </c>
      <c r="C91" t="str">
        <f>INDEX('Stato patrimoniale'!D:D,MATCH(A91,'Stato patrimoniale'!A:A,0))</f>
        <v>ETF</v>
      </c>
      <c r="D91">
        <v>1.1766000000000001</v>
      </c>
      <c r="E91">
        <v>-0.41339999999999999</v>
      </c>
      <c r="F91" s="91">
        <v>45653</v>
      </c>
      <c r="G91" t="s">
        <v>582</v>
      </c>
      <c r="H91" t="str">
        <f>INDEX('Stato patrimoniale'!Q:Q,MATCH(A91,'Stato patrimoniale'!A:A,0))</f>
        <v>Fineco-C</v>
      </c>
      <c r="I91" t="str">
        <f t="shared" si="1"/>
        <v>Fineco-C</v>
      </c>
    </row>
    <row r="92" spans="1:9" x14ac:dyDescent="0.25">
      <c r="A92">
        <v>5</v>
      </c>
      <c r="B92" t="str">
        <f>INDEX('Stato patrimoniale'!C:C,MATCH(A92,'Stato patrimoniale'!A:A,0))</f>
        <v>iShares Core S&amp;P 500 UCITS ETF USD (Dist)</v>
      </c>
      <c r="C92" t="str">
        <f>INDEX('Stato patrimoniale'!D:D,MATCH(A92,'Stato patrimoniale'!A:A,0))</f>
        <v>ETF</v>
      </c>
      <c r="D92">
        <v>2.7749999999999999</v>
      </c>
      <c r="E92">
        <v>-0.97500000000000009</v>
      </c>
      <c r="F92" s="91">
        <v>45653</v>
      </c>
      <c r="G92" t="s">
        <v>582</v>
      </c>
      <c r="H92" t="str">
        <f>INDEX('Stato patrimoniale'!Q:Q,MATCH(A92,'Stato patrimoniale'!A:A,0))</f>
        <v>Fineco-C</v>
      </c>
      <c r="I92" t="str">
        <f t="shared" si="1"/>
        <v>Fineco-C</v>
      </c>
    </row>
    <row r="93" spans="1:9" x14ac:dyDescent="0.25">
      <c r="A93">
        <v>29</v>
      </c>
      <c r="B93" t="str">
        <f>INDEX('Stato patrimoniale'!C:C,MATCH(A93,'Stato patrimoniale'!A:A,0))</f>
        <v>BTP-VAL 10OT28SU CUM</v>
      </c>
      <c r="C93" t="str">
        <f>INDEX('Stato patrimoniale'!D:D,MATCH(A93,'Stato patrimoniale'!A:A,0))</f>
        <v>O</v>
      </c>
      <c r="D93">
        <v>44.84375</v>
      </c>
      <c r="E93">
        <v>-6.40625</v>
      </c>
      <c r="F93" s="91">
        <v>45667</v>
      </c>
      <c r="G93" t="s">
        <v>582</v>
      </c>
      <c r="H93" t="str">
        <f>INDEX('Stato patrimoniale'!Q:Q,MATCH(A93,'Stato patrimoniale'!A:A,0))</f>
        <v>Fineco</v>
      </c>
      <c r="I93" t="str">
        <f t="shared" si="1"/>
        <v>Fineco</v>
      </c>
    </row>
    <row r="94" spans="1:9" x14ac:dyDescent="0.25">
      <c r="A94">
        <v>19</v>
      </c>
      <c r="B94" t="str">
        <f>INDEX('Stato patrimoniale'!C:C,MATCH(A94,'Stato patrimoniale'!A:A,0))</f>
        <v>Enel</v>
      </c>
      <c r="C94" t="str">
        <f>INDEX('Stato patrimoniale'!D:D,MATCH(A94,'Stato patrimoniale'!A:A,0))</f>
        <v>A</v>
      </c>
      <c r="D94">
        <v>6.3639999999999999</v>
      </c>
      <c r="E94">
        <v>-2.2359999999999998</v>
      </c>
      <c r="F94" s="91">
        <v>45679</v>
      </c>
      <c r="G94" t="s">
        <v>582</v>
      </c>
      <c r="H94" t="str">
        <f>INDEX('Stato patrimoniale'!Q:Q,MATCH(A94,'Stato patrimoniale'!A:A,0))</f>
        <v>Fineco-C</v>
      </c>
      <c r="I94" t="str">
        <f t="shared" si="1"/>
        <v>Fineco-C</v>
      </c>
    </row>
    <row r="95" spans="1:9" x14ac:dyDescent="0.25">
      <c r="A95">
        <v>37</v>
      </c>
      <c r="B95" t="str">
        <f>INDEX('Stato patrimoniale'!C:C,MATCH(A95,'Stato patrimoniale'!A:A,0))</f>
        <v>BTP-28GE26 3,2</v>
      </c>
      <c r="C95" t="str">
        <f>INDEX('Stato patrimoniale'!D:D,MATCH(A95,'Stato patrimoniale'!A:A,0))</f>
        <v>O</v>
      </c>
      <c r="D95">
        <v>28</v>
      </c>
      <c r="E95">
        <v>-4</v>
      </c>
      <c r="F95" s="91">
        <v>45685</v>
      </c>
      <c r="G95" t="s">
        <v>582</v>
      </c>
      <c r="H95" t="str">
        <f>INDEX('Stato patrimoniale'!Q:Q,MATCH(A95,'Stato patrimoniale'!A:A,0))</f>
        <v>Fineco</v>
      </c>
      <c r="I95" t="str">
        <f t="shared" si="1"/>
        <v>Fineco</v>
      </c>
    </row>
    <row r="96" spans="1:9" x14ac:dyDescent="0.25">
      <c r="A96">
        <v>21</v>
      </c>
      <c r="B96" t="str">
        <f>INDEX('Stato patrimoniale'!C:C,MATCH(A96,'Stato patrimoniale'!A:A,0))</f>
        <v>Apple</v>
      </c>
      <c r="C96" t="str">
        <f>INDEX('Stato patrimoniale'!D:D,MATCH(A96,'Stato patrimoniale'!A:A,0))</f>
        <v>A</v>
      </c>
      <c r="D96">
        <v>0.3034</v>
      </c>
      <c r="E96">
        <v>-0.10659999999999997</v>
      </c>
      <c r="F96" s="91">
        <v>45705</v>
      </c>
      <c r="G96" t="s">
        <v>582</v>
      </c>
      <c r="H96" t="str">
        <f>INDEX('Stato patrimoniale'!Q:Q,MATCH(A96,'Stato patrimoniale'!A:A,0))</f>
        <v>Fineco-C</v>
      </c>
      <c r="I96" t="str">
        <f t="shared" si="1"/>
        <v>Fineco-C</v>
      </c>
    </row>
    <row r="97" spans="1:9" x14ac:dyDescent="0.25">
      <c r="A97">
        <v>11</v>
      </c>
      <c r="B97" t="str">
        <f>INDEX('Stato patrimoniale'!C:C,MATCH(A97,'Stato patrimoniale'!A:A,0))</f>
        <v>USA-15FB26 6</v>
      </c>
      <c r="C97" t="str">
        <f>INDEX('Stato patrimoniale'!D:D,MATCH(A97,'Stato patrimoniale'!A:A,0))</f>
        <v>O</v>
      </c>
      <c r="D97">
        <v>125.63250000000001</v>
      </c>
      <c r="E97">
        <v>-17.947500000000005</v>
      </c>
      <c r="F97" s="91">
        <v>45706</v>
      </c>
      <c r="G97" t="s">
        <v>582</v>
      </c>
      <c r="H97" t="str">
        <f>INDEX('Stato patrimoniale'!Q:Q,MATCH(A97,'Stato patrimoniale'!A:A,0))</f>
        <v>Fineco-C</v>
      </c>
      <c r="I97" t="str">
        <f t="shared" si="1"/>
        <v>Fineco-C</v>
      </c>
    </row>
    <row r="98" spans="1:9" x14ac:dyDescent="0.25">
      <c r="A98">
        <v>33</v>
      </c>
      <c r="B98" t="str">
        <f>INDEX('Stato patrimoniale'!C:C,MATCH(A98,'Stato patrimoniale'!A:A,0))</f>
        <v>BTP-VAL 5MZ30SU CUM</v>
      </c>
      <c r="C98" t="str">
        <f>INDEX('Stato patrimoniale'!D:D,MATCH(A98,'Stato patrimoniale'!A:A,0))</f>
        <v>O</v>
      </c>
      <c r="D98">
        <v>14.21875</v>
      </c>
      <c r="E98">
        <v>-2.03125</v>
      </c>
      <c r="F98" s="91">
        <v>45721</v>
      </c>
      <c r="G98" t="s">
        <v>582</v>
      </c>
      <c r="H98" t="str">
        <f>INDEX('Stato patrimoniale'!Q:Q,MATCH(A98,'Stato patrimoniale'!A:A,0))</f>
        <v>Fineco</v>
      </c>
      <c r="I98" t="str">
        <f t="shared" si="1"/>
        <v>Fineco</v>
      </c>
    </row>
    <row r="99" spans="1:9" x14ac:dyDescent="0.25">
      <c r="A99">
        <v>23</v>
      </c>
      <c r="B99" t="str">
        <f>INDEX('Stato patrimoniale'!C:C,MATCH(A99,'Stato patrimoniale'!A:A,0))</f>
        <v>Microsoft</v>
      </c>
      <c r="C99" t="str">
        <f>INDEX('Stato patrimoniale'!D:D,MATCH(A99,'Stato patrimoniale'!A:A,0))</f>
        <v>A</v>
      </c>
      <c r="D99">
        <v>39.760199999999998</v>
      </c>
      <c r="E99">
        <v>-13.969799999999999</v>
      </c>
      <c r="F99" s="91">
        <v>45736</v>
      </c>
      <c r="G99" t="s">
        <v>582</v>
      </c>
      <c r="H99" t="str">
        <f>INDEX('Stato patrimoniale'!Q:Q,MATCH(A99,'Stato patrimoniale'!A:A,0))</f>
        <v>Fineco-C</v>
      </c>
      <c r="I99" t="str">
        <f t="shared" si="1"/>
        <v>Fineco-C</v>
      </c>
    </row>
    <row r="100" spans="1:9" x14ac:dyDescent="0.25">
      <c r="A100">
        <v>20</v>
      </c>
      <c r="B100" t="str">
        <f>INDEX('Stato patrimoniale'!C:C,MATCH(A100,'Stato patrimoniale'!A:A,0))</f>
        <v>Eni</v>
      </c>
      <c r="C100" t="str">
        <f>INDEX('Stato patrimoniale'!D:D,MATCH(A100,'Stato patrimoniale'!A:A,0))</f>
        <v>A</v>
      </c>
      <c r="D100">
        <v>3.5149999999999997</v>
      </c>
      <c r="E100">
        <v>-1.2350000000000003</v>
      </c>
      <c r="F100" s="91">
        <v>45742</v>
      </c>
      <c r="G100" t="s">
        <v>582</v>
      </c>
      <c r="H100" t="str">
        <f>INDEX('Stato patrimoniale'!Q:Q,MATCH(A100,'Stato patrimoniale'!A:A,0))</f>
        <v>Fineco-C</v>
      </c>
      <c r="I100" t="str">
        <f t="shared" si="1"/>
        <v>Fineco-C</v>
      </c>
    </row>
    <row r="101" spans="1:9" x14ac:dyDescent="0.25">
      <c r="A101">
        <v>5</v>
      </c>
      <c r="B101" t="str">
        <f>INDEX('Stato patrimoniale'!C:C,MATCH(A101,'Stato patrimoniale'!A:A,0))</f>
        <v>iShares Core S&amp;P 500 UCITS ETF USD (Dist)</v>
      </c>
      <c r="C101" t="str">
        <f>INDEX('Stato patrimoniale'!D:D,MATCH(A101,'Stato patrimoniale'!A:A,0))</f>
        <v>ETF</v>
      </c>
      <c r="D101">
        <v>2.6713999999999998</v>
      </c>
      <c r="E101">
        <v>-0.9386000000000001</v>
      </c>
      <c r="F101" s="91">
        <v>45742</v>
      </c>
      <c r="G101" t="s">
        <v>582</v>
      </c>
      <c r="H101" t="str">
        <f>INDEX('Stato patrimoniale'!Q:Q,MATCH(A101,'Stato patrimoniale'!A:A,0))</f>
        <v>Fineco-C</v>
      </c>
      <c r="I101" t="str">
        <f t="shared" si="1"/>
        <v>Fineco-C</v>
      </c>
    </row>
    <row r="102" spans="1:9" x14ac:dyDescent="0.25">
      <c r="A102">
        <v>25</v>
      </c>
      <c r="B102" t="str">
        <f>INDEX('Stato patrimoniale'!C:C,MATCH(A102,'Stato patrimoniale'!A:A,0))</f>
        <v>BTP-29ST25 3,60</v>
      </c>
      <c r="C102" t="str">
        <f>INDEX('Stato patrimoniale'!D:D,MATCH(A102,'Stato patrimoniale'!A:A,0))</f>
        <v>O</v>
      </c>
      <c r="D102">
        <v>78.75</v>
      </c>
      <c r="E102">
        <v>-11.25</v>
      </c>
      <c r="F102" s="91">
        <v>45747</v>
      </c>
      <c r="G102" t="s">
        <v>582</v>
      </c>
      <c r="H102" t="str">
        <f>INDEX('Stato patrimoniale'!Q:Q,MATCH(A102,'Stato patrimoniale'!A:A,0))</f>
        <v>Fineco-C</v>
      </c>
      <c r="I102" t="str">
        <f t="shared" si="1"/>
        <v>Fineco-C</v>
      </c>
    </row>
    <row r="103" spans="1:9" x14ac:dyDescent="0.25">
      <c r="A103">
        <v>12</v>
      </c>
      <c r="B103" t="str">
        <f>INDEX('Stato patrimoniale'!C:C,MATCH(A103,'Stato patrimoniale'!A:A,0))</f>
        <v>BTP-1OT53 4,5</v>
      </c>
      <c r="C103" t="str">
        <f>INDEX('Stato patrimoniale'!D:D,MATCH(A103,'Stato patrimoniale'!A:A,0))</f>
        <v>O</v>
      </c>
      <c r="D103">
        <v>98.4375</v>
      </c>
      <c r="E103">
        <v>-14.0625</v>
      </c>
      <c r="F103" s="91">
        <v>45748</v>
      </c>
      <c r="G103" t="s">
        <v>582</v>
      </c>
      <c r="H103" t="str">
        <f>INDEX('Stato patrimoniale'!Q:Q,MATCH(A103,'Stato patrimoniale'!A:A,0))</f>
        <v>Fineco-C</v>
      </c>
      <c r="I103" t="str">
        <f t="shared" si="1"/>
        <v>Fineco-C</v>
      </c>
    </row>
    <row r="104" spans="1:9" x14ac:dyDescent="0.25">
      <c r="A104">
        <v>3</v>
      </c>
      <c r="B104" t="str">
        <f>INDEX('Stato patrimoniale'!C:C,MATCH(A104,'Stato patrimoniale'!A:A,0))</f>
        <v>Vanguard FTSE Emerging Markets UCITS ETF (USD) Dis</v>
      </c>
      <c r="C104" t="str">
        <f>INDEX('Stato patrimoniale'!D:D,MATCH(A104,'Stato patrimoniale'!A:A,0))</f>
        <v>ETF</v>
      </c>
      <c r="D104">
        <v>2.1756000000000002</v>
      </c>
      <c r="E104">
        <v>-0.76439999999999975</v>
      </c>
      <c r="F104" s="91">
        <v>45749</v>
      </c>
      <c r="G104" t="s">
        <v>582</v>
      </c>
      <c r="H104" t="str">
        <f>INDEX('Stato patrimoniale'!Q:Q,MATCH(A104,'Stato patrimoniale'!A:A,0))</f>
        <v>Fineco-C</v>
      </c>
      <c r="I104" t="str">
        <f t="shared" si="1"/>
        <v>Fineco-C</v>
      </c>
    </row>
    <row r="105" spans="1:9" x14ac:dyDescent="0.25">
      <c r="A105">
        <v>26</v>
      </c>
      <c r="B105" t="str">
        <f>INDEX('Stato patrimoniale'!C:C,MATCH(A105,'Stato patrimoniale'!A:A,0))</f>
        <v>USA-15MG25 2,125</v>
      </c>
      <c r="C105" t="str">
        <f>INDEX('Stato patrimoniale'!D:D,MATCH(A105,'Stato patrimoniale'!A:A,0))</f>
        <v>O</v>
      </c>
      <c r="D105">
        <v>41.5625</v>
      </c>
      <c r="E105">
        <v>-5.9375</v>
      </c>
      <c r="F105" s="91">
        <v>45792</v>
      </c>
      <c r="G105" t="s">
        <v>582</v>
      </c>
      <c r="H105" t="str">
        <f>INDEX('Stato patrimoniale'!Q:Q,MATCH(A105,'Stato patrimoniale'!A:A,0))</f>
        <v>Fineco-C</v>
      </c>
      <c r="I105" t="str">
        <f t="shared" si="1"/>
        <v>Fineco-C</v>
      </c>
    </row>
    <row r="106" spans="1:9" x14ac:dyDescent="0.25">
      <c r="A106">
        <v>21</v>
      </c>
      <c r="B106" t="str">
        <f>INDEX('Stato patrimoniale'!C:C,MATCH(A106,'Stato patrimoniale'!A:A,0))</f>
        <v>Apple</v>
      </c>
      <c r="C106" t="str">
        <f>INDEX('Stato patrimoniale'!D:D,MATCH(A106,'Stato patrimoniale'!A:A,0))</f>
        <v>A</v>
      </c>
      <c r="D106">
        <v>0.28860000000000002</v>
      </c>
      <c r="E106">
        <v>-0.10139999999999999</v>
      </c>
      <c r="F106" s="91">
        <v>45797</v>
      </c>
      <c r="G106" t="s">
        <v>582</v>
      </c>
      <c r="H106" t="str">
        <f>INDEX('Stato patrimoniale'!Q:Q,MATCH(A106,'Stato patrimoniale'!A:A,0))</f>
        <v>Fineco-C</v>
      </c>
      <c r="I106" t="str">
        <f t="shared" ref="I106:I158" si="2">H106</f>
        <v>Fineco-C</v>
      </c>
    </row>
    <row r="107" spans="1:9" x14ac:dyDescent="0.25">
      <c r="A107">
        <v>20</v>
      </c>
      <c r="B107" t="str">
        <f>INDEX('Stato patrimoniale'!C:C,MATCH(A107,'Stato patrimoniale'!A:A,0))</f>
        <v>Eni</v>
      </c>
      <c r="C107" t="str">
        <f>INDEX('Stato patrimoniale'!D:D,MATCH(A107,'Stato patrimoniale'!A:A,0))</f>
        <v>A</v>
      </c>
      <c r="D107">
        <v>3.5149999999999997</v>
      </c>
      <c r="E107">
        <v>-1.2350000000000003</v>
      </c>
      <c r="F107" s="91">
        <v>45798</v>
      </c>
      <c r="G107" t="s">
        <v>582</v>
      </c>
      <c r="H107" t="str">
        <f>INDEX('Stato patrimoniale'!Q:Q,MATCH(A107,'Stato patrimoniale'!A:A,0))</f>
        <v>Fineco-C</v>
      </c>
      <c r="I107" t="str">
        <f t="shared" si="2"/>
        <v>Fineco-C</v>
      </c>
    </row>
    <row r="108" spans="1:9" x14ac:dyDescent="0.25">
      <c r="A108">
        <v>17</v>
      </c>
      <c r="B108" t="str">
        <f>INDEX('Stato patrimoniale'!C:C,MATCH(A108,'Stato patrimoniale'!A:A,0))</f>
        <v>Intesa San Paolo</v>
      </c>
      <c r="C108" t="str">
        <f>INDEX('Stato patrimoniale'!D:D,MATCH(A108,'Stato patrimoniale'!A:A,0))</f>
        <v>A</v>
      </c>
      <c r="D108">
        <v>12.654</v>
      </c>
      <c r="E108">
        <v>-4.4460000000000015</v>
      </c>
      <c r="F108" s="91">
        <v>45798</v>
      </c>
      <c r="G108" t="s">
        <v>582</v>
      </c>
      <c r="H108" t="str">
        <f>INDEX('Stato patrimoniale'!Q:Q,MATCH(A108,'Stato patrimoniale'!A:A,0))</f>
        <v>Fineco-C</v>
      </c>
      <c r="I108" t="str">
        <f t="shared" si="2"/>
        <v>Fineco-C</v>
      </c>
    </row>
    <row r="109" spans="1:9" x14ac:dyDescent="0.25">
      <c r="A109">
        <v>57</v>
      </c>
      <c r="B109" t="str">
        <f>INDEX('Stato patrimoniale'!C:C,MATCH(A109,'Stato patrimoniale'!A:A,0))</f>
        <v>BTP-PIU 25FB33 CUM</v>
      </c>
      <c r="C109" t="str">
        <f>INDEX('Stato patrimoniale'!D:D,MATCH(A109,'Stato patrimoniale'!A:A,0))</f>
        <v>O</v>
      </c>
      <c r="D109">
        <v>12.46875</v>
      </c>
      <c r="E109">
        <v>-1.78125</v>
      </c>
      <c r="F109" s="91">
        <v>45804</v>
      </c>
      <c r="G109" t="s">
        <v>582</v>
      </c>
      <c r="H109" t="str">
        <f>INDEX('Stato patrimoniale'!Q:Q,MATCH(A109,'Stato patrimoniale'!A:A,0))</f>
        <v>Fineco</v>
      </c>
      <c r="I109" t="str">
        <f t="shared" si="2"/>
        <v>Fineco</v>
      </c>
    </row>
    <row r="110" spans="1:9" x14ac:dyDescent="0.25">
      <c r="A110">
        <v>33</v>
      </c>
      <c r="B110" t="str">
        <f>INDEX('Stato patrimoniale'!C:C,MATCH(A110,'Stato patrimoniale'!A:A,0))</f>
        <v>BTP-VAL 5MZ30SU CUM</v>
      </c>
      <c r="C110" t="str">
        <f>INDEX('Stato patrimoniale'!D:D,MATCH(A110,'Stato patrimoniale'!A:A,0))</f>
        <v>O</v>
      </c>
      <c r="D110">
        <v>14.21875</v>
      </c>
      <c r="E110">
        <v>-2.03125</v>
      </c>
      <c r="F110" s="91">
        <v>45813</v>
      </c>
      <c r="G110" t="s">
        <v>582</v>
      </c>
      <c r="H110" t="str">
        <f>INDEX('Stato patrimoniale'!Q:Q,MATCH(A110,'Stato patrimoniale'!A:A,0))</f>
        <v>Fineco</v>
      </c>
      <c r="I110" t="str">
        <f t="shared" si="2"/>
        <v>Fineco</v>
      </c>
    </row>
    <row r="111" spans="1:9" x14ac:dyDescent="0.25">
      <c r="A111">
        <v>45</v>
      </c>
      <c r="B111" t="str">
        <f>INDEX('Stato patrimoniale'!C:C,MATCH(A111,'Stato patrimoniale'!A:A,0))</f>
        <v>Amundi IS Fix. Mat. 2028 Euro Gov Bd Br. UCITS ETF Dis</v>
      </c>
      <c r="C111" t="str">
        <f>INDEX('Stato patrimoniale'!D:D,MATCH(A111,'Stato patrimoniale'!A:A,0))</f>
        <v>ETF</v>
      </c>
      <c r="D111">
        <v>48.125</v>
      </c>
      <c r="E111">
        <v>-6.875</v>
      </c>
      <c r="F111" s="91">
        <v>45813</v>
      </c>
      <c r="G111" t="s">
        <v>582</v>
      </c>
      <c r="H111" t="str">
        <f>INDEX('Stato patrimoniale'!Q:Q,MATCH(A111,'Stato patrimoniale'!A:A,0))</f>
        <v>Fineco</v>
      </c>
      <c r="I111" t="str">
        <f t="shared" si="2"/>
        <v>Fineco</v>
      </c>
    </row>
    <row r="112" spans="1:9" x14ac:dyDescent="0.25">
      <c r="A112">
        <v>10</v>
      </c>
      <c r="B112" t="str">
        <f>INDEX('Stato patrimoniale'!C:C,MATCH(A112,'Stato patrimoniale'!A:A,0))</f>
        <v>BTP-VAL 13GN27SU CUM</v>
      </c>
      <c r="C112" t="str">
        <f>INDEX('Stato patrimoniale'!D:D,MATCH(A112,'Stato patrimoniale'!A:A,0))</f>
        <v>O</v>
      </c>
      <c r="D112">
        <v>142.1875</v>
      </c>
      <c r="E112">
        <v>-20.3125</v>
      </c>
      <c r="F112" s="91">
        <v>45821</v>
      </c>
      <c r="G112" t="s">
        <v>582</v>
      </c>
      <c r="H112" t="str">
        <f>INDEX('Stato patrimoniale'!Q:Q,MATCH(A112,'Stato patrimoniale'!A:A,0))</f>
        <v>Fineco-C</v>
      </c>
      <c r="I112" t="str">
        <f t="shared" si="2"/>
        <v>Fineco-C</v>
      </c>
    </row>
    <row r="113" spans="1:9" x14ac:dyDescent="0.25">
      <c r="A113">
        <v>23</v>
      </c>
      <c r="B113" t="str">
        <f>INDEX('Stato patrimoniale'!C:C,MATCH(A113,'Stato patrimoniale'!A:A,0))</f>
        <v>Microsoft</v>
      </c>
      <c r="C113" t="str">
        <f>INDEX('Stato patrimoniale'!D:D,MATCH(A113,'Stato patrimoniale'!A:A,0))</f>
        <v>A</v>
      </c>
      <c r="D113">
        <v>37.436599999999999</v>
      </c>
      <c r="E113">
        <v>-13.153400000000005</v>
      </c>
      <c r="F113" s="91">
        <v>45825</v>
      </c>
      <c r="G113" t="s">
        <v>582</v>
      </c>
      <c r="H113" t="str">
        <f>INDEX('Stato patrimoniale'!Q:Q,MATCH(A113,'Stato patrimoniale'!A:A,0))</f>
        <v>Fineco-C</v>
      </c>
      <c r="I113" t="str">
        <f t="shared" si="2"/>
        <v>Fineco-C</v>
      </c>
    </row>
    <row r="114" spans="1:9" x14ac:dyDescent="0.25">
      <c r="A114">
        <v>5</v>
      </c>
      <c r="B114" t="str">
        <f>INDEX('Stato patrimoniale'!C:C,MATCH(A114,'Stato patrimoniale'!A:A,0))</f>
        <v>iShares Core S&amp;P 500 UCITS ETF USD (Dist)</v>
      </c>
      <c r="C114" t="str">
        <f>INDEX('Stato patrimoniale'!D:D,MATCH(A114,'Stato patrimoniale'!A:A,0))</f>
        <v>ETF</v>
      </c>
      <c r="D114">
        <v>2.5529999999999999</v>
      </c>
      <c r="E114">
        <v>-0.89700000000000024</v>
      </c>
      <c r="F114" s="91">
        <v>45833</v>
      </c>
      <c r="G114" t="s">
        <v>582</v>
      </c>
      <c r="H114" t="str">
        <f>INDEX('Stato patrimoniale'!Q:Q,MATCH(A114,'Stato patrimoniale'!A:A,0))</f>
        <v>Fineco-C</v>
      </c>
      <c r="I114" t="str">
        <f t="shared" si="2"/>
        <v>Fineco-C</v>
      </c>
    </row>
    <row r="115" spans="1:9" x14ac:dyDescent="0.25">
      <c r="A115">
        <v>15</v>
      </c>
      <c r="B115" t="str">
        <f>INDEX('Stato patrimoniale'!C:C,MATCH(A115,'Stato patrimoniale'!A:A,0))</f>
        <v>Poste Italiane</v>
      </c>
      <c r="C115" t="str">
        <f>INDEX('Stato patrimoniale'!D:D,MATCH(A115,'Stato patrimoniale'!A:A,0))</f>
        <v>A</v>
      </c>
      <c r="D115">
        <v>13.875</v>
      </c>
      <c r="E115">
        <v>-4.875</v>
      </c>
      <c r="F115" s="91">
        <v>45833</v>
      </c>
      <c r="G115" t="s">
        <v>582</v>
      </c>
      <c r="H115" t="str">
        <f>INDEX('Stato patrimoniale'!Q:Q,MATCH(A115,'Stato patrimoniale'!A:A,0))</f>
        <v>Fineco-C</v>
      </c>
      <c r="I115" t="str">
        <f t="shared" si="2"/>
        <v>Fineco-C</v>
      </c>
    </row>
    <row r="116" spans="1:9" x14ac:dyDescent="0.25">
      <c r="A116">
        <v>3</v>
      </c>
      <c r="B116" t="str">
        <f>INDEX('Stato patrimoniale'!C:C,MATCH(A116,'Stato patrimoniale'!A:A,0))</f>
        <v>Vanguard FTSE Emerging Markets UCITS ETF (USD) Dis</v>
      </c>
      <c r="C116" t="str">
        <f>INDEX('Stato patrimoniale'!D:D,MATCH(A116,'Stato patrimoniale'!A:A,0))</f>
        <v>ETF</v>
      </c>
      <c r="D116">
        <v>3.6556000000000002</v>
      </c>
      <c r="E116">
        <v>-1.2844000000000002</v>
      </c>
      <c r="F116" s="91">
        <v>45840</v>
      </c>
      <c r="G116" t="s">
        <v>582</v>
      </c>
      <c r="H116" t="str">
        <f>INDEX('Stato patrimoniale'!Q:Q,MATCH(A116,'Stato patrimoniale'!A:A,0))</f>
        <v>Fineco-C</v>
      </c>
      <c r="I116" t="str">
        <f t="shared" si="2"/>
        <v>Fineco-C</v>
      </c>
    </row>
    <row r="117" spans="1:9" x14ac:dyDescent="0.25">
      <c r="A117">
        <v>29</v>
      </c>
      <c r="B117" t="str">
        <f>INDEX('Stato patrimoniale'!C:C,MATCH(A117,'Stato patrimoniale'!A:A,0))</f>
        <v>BTP-VAL 10OT28SU CUM</v>
      </c>
      <c r="C117" t="str">
        <f>INDEX('Stato patrimoniale'!D:D,MATCH(A117,'Stato patrimoniale'!A:A,0))</f>
        <v>O</v>
      </c>
      <c r="D117">
        <v>44.84375</v>
      </c>
      <c r="E117">
        <v>-6.40625</v>
      </c>
      <c r="F117" s="91">
        <v>45848</v>
      </c>
      <c r="G117" t="s">
        <v>582</v>
      </c>
      <c r="H117" t="str">
        <f>INDEX('Stato patrimoniale'!Q:Q,MATCH(A117,'Stato patrimoniale'!A:A,0))</f>
        <v>Fineco</v>
      </c>
      <c r="I117" t="str">
        <f t="shared" si="2"/>
        <v>Fineco</v>
      </c>
    </row>
    <row r="118" spans="1:9" x14ac:dyDescent="0.25">
      <c r="A118">
        <v>19</v>
      </c>
      <c r="B118" t="str">
        <f>INDEX('Stato patrimoniale'!C:C,MATCH(A118,'Stato patrimoniale'!A:A,0))</f>
        <v>Enel</v>
      </c>
      <c r="C118" t="str">
        <f>INDEX('Stato patrimoniale'!D:D,MATCH(A118,'Stato patrimoniale'!A:A,0))</f>
        <v>A</v>
      </c>
      <c r="D118">
        <v>7.548</v>
      </c>
      <c r="E118">
        <v>-2.6519999999999992</v>
      </c>
      <c r="F118" s="91">
        <v>45861</v>
      </c>
      <c r="G118" t="s">
        <v>582</v>
      </c>
      <c r="H118" t="str">
        <f>INDEX('Stato patrimoniale'!Q:Q,MATCH(A118,'Stato patrimoniale'!A:A,0))</f>
        <v>Fineco-C</v>
      </c>
      <c r="I118" t="str">
        <f t="shared" si="2"/>
        <v>Fineco-C</v>
      </c>
    </row>
    <row r="119" spans="1:9" x14ac:dyDescent="0.25">
      <c r="A119">
        <v>37</v>
      </c>
      <c r="B119" t="str">
        <f>INDEX('Stato patrimoniale'!C:C,MATCH(A119,'Stato patrimoniale'!A:A,0))</f>
        <v>BTP-28GE26 3,2</v>
      </c>
      <c r="C119" t="str">
        <f>INDEX('Stato patrimoniale'!D:D,MATCH(A119,'Stato patrimoniale'!A:A,0))</f>
        <v>O</v>
      </c>
      <c r="D119">
        <v>28</v>
      </c>
      <c r="E119">
        <v>-4</v>
      </c>
      <c r="F119" s="91">
        <v>45866</v>
      </c>
      <c r="G119" t="s">
        <v>582</v>
      </c>
      <c r="H119" t="str">
        <f>INDEX('Stato patrimoniale'!Q:Q,MATCH(A119,'Stato patrimoniale'!A:A,0))</f>
        <v>Fineco</v>
      </c>
      <c r="I119" t="str">
        <f t="shared" si="2"/>
        <v>Fineco</v>
      </c>
    </row>
    <row r="120" spans="1:9" x14ac:dyDescent="0.25">
      <c r="A120">
        <v>31</v>
      </c>
      <c r="B120" t="str">
        <f>INDEX('Stato patrimoniale'!C:C,MATCH(A120,'Stato patrimoniale'!A:A,0))</f>
        <v>SPAIN-30LG33 2,35</v>
      </c>
      <c r="C120" t="str">
        <f>INDEX('Stato patrimoniale'!D:D,MATCH(A120,'Stato patrimoniale'!A:A,0))</f>
        <v>O</v>
      </c>
      <c r="D120">
        <v>41.125</v>
      </c>
      <c r="E120">
        <v>-5.875</v>
      </c>
      <c r="F120" s="91">
        <v>45868</v>
      </c>
      <c r="G120" t="s">
        <v>582</v>
      </c>
      <c r="H120" t="str">
        <f>INDEX('Stato patrimoniale'!Q:Q,MATCH(A120,'Stato patrimoniale'!A:A,0))</f>
        <v>Fineco</v>
      </c>
      <c r="I120" t="str">
        <f t="shared" si="2"/>
        <v>Fineco</v>
      </c>
    </row>
    <row r="121" spans="1:9" x14ac:dyDescent="0.25">
      <c r="A121">
        <v>11</v>
      </c>
      <c r="B121" t="str">
        <f>INDEX('Stato patrimoniale'!C:C,MATCH(A121,'Stato patrimoniale'!A:A,0))</f>
        <v>USA-15FB26 6</v>
      </c>
      <c r="C121" t="str">
        <f>INDEX('Stato patrimoniale'!D:D,MATCH(A121,'Stato patrimoniale'!A:A,0))</f>
        <v>O</v>
      </c>
      <c r="D121">
        <v>112.2975</v>
      </c>
      <c r="E121">
        <v>-16.042500000000004</v>
      </c>
      <c r="F121" s="91">
        <v>45884</v>
      </c>
      <c r="G121" t="s">
        <v>582</v>
      </c>
      <c r="H121" t="str">
        <f>INDEX('Stato patrimoniale'!Q:Q,MATCH(A121,'Stato patrimoniale'!A:A,0))</f>
        <v>Fineco-C</v>
      </c>
      <c r="I121" t="str">
        <f t="shared" si="2"/>
        <v>Fineco-C</v>
      </c>
    </row>
    <row r="122" spans="1:9" x14ac:dyDescent="0.25">
      <c r="A122">
        <v>21</v>
      </c>
      <c r="B122" t="str">
        <f>INDEX('Stato patrimoniale'!C:C,MATCH(A122,'Stato patrimoniale'!A:A,0))</f>
        <v>Apple</v>
      </c>
      <c r="C122" t="str">
        <f>INDEX('Stato patrimoniale'!D:D,MATCH(A122,'Stato patrimoniale'!A:A,0))</f>
        <v>A</v>
      </c>
      <c r="D122">
        <v>0.28120000000000001</v>
      </c>
      <c r="E122">
        <v>-9.8799999999999999E-2</v>
      </c>
      <c r="F122" s="91">
        <v>45888</v>
      </c>
      <c r="G122" t="s">
        <v>582</v>
      </c>
      <c r="H122" t="str">
        <f>INDEX('Stato patrimoniale'!Q:Q,MATCH(A122,'Stato patrimoniale'!A:A,0))</f>
        <v>Fineco-C</v>
      </c>
      <c r="I122" t="str">
        <f t="shared" si="2"/>
        <v>Fineco-C</v>
      </c>
    </row>
    <row r="123" spans="1:9" x14ac:dyDescent="0.25">
      <c r="A123">
        <v>57</v>
      </c>
      <c r="B123" t="str">
        <f>INDEX('Stato patrimoniale'!C:C,MATCH(A123,'Stato patrimoniale'!A:A,0))</f>
        <v>BTP-PIU 25FB33 CUM</v>
      </c>
      <c r="C123" t="str">
        <f>INDEX('Stato patrimoniale'!D:D,MATCH(A123,'Stato patrimoniale'!A:A,0))</f>
        <v>O</v>
      </c>
      <c r="D123">
        <v>12.46875</v>
      </c>
      <c r="E123">
        <v>-1.78125</v>
      </c>
      <c r="F123" s="91">
        <v>45894</v>
      </c>
      <c r="G123" t="s">
        <v>582</v>
      </c>
      <c r="H123" t="str">
        <f>INDEX('Stato patrimoniale'!Q:Q,MATCH(A123,'Stato patrimoniale'!A:A,0))</f>
        <v>Fineco</v>
      </c>
      <c r="I123" t="str">
        <f t="shared" si="2"/>
        <v>Fineco</v>
      </c>
    </row>
    <row r="124" spans="1:9" x14ac:dyDescent="0.25">
      <c r="A124">
        <v>33</v>
      </c>
      <c r="B124" t="str">
        <f>INDEX('Stato patrimoniale'!C:C,MATCH(A124,'Stato patrimoniale'!A:A,0))</f>
        <v>BTP-VAL 5MZ30SU CUM</v>
      </c>
      <c r="C124" t="str">
        <f>INDEX('Stato patrimoniale'!D:D,MATCH(A124,'Stato patrimoniale'!A:A,0))</f>
        <v>O</v>
      </c>
      <c r="D124">
        <v>14.21875</v>
      </c>
      <c r="E124">
        <v>-2.03125</v>
      </c>
      <c r="F124" s="91">
        <v>45905</v>
      </c>
      <c r="G124" t="s">
        <v>582</v>
      </c>
      <c r="H124" t="str">
        <f>INDEX('Stato patrimoniale'!Q:Q,MATCH(A124,'Stato patrimoniale'!A:A,0))</f>
        <v>Fineco</v>
      </c>
      <c r="I124" t="str">
        <f t="shared" si="2"/>
        <v>Fineco</v>
      </c>
    </row>
    <row r="125" spans="1:9" x14ac:dyDescent="0.25">
      <c r="A125">
        <v>23</v>
      </c>
      <c r="B125" t="str">
        <f>INDEX('Stato patrimoniale'!C:C,MATCH(A125,'Stato patrimoniale'!A:A,0))</f>
        <v>Microsoft</v>
      </c>
      <c r="C125" t="str">
        <f>INDEX('Stato patrimoniale'!D:D,MATCH(A125,'Stato patrimoniale'!A:A,0))</f>
        <v>A</v>
      </c>
      <c r="D125">
        <v>29.178199999999997</v>
      </c>
      <c r="E125">
        <v>-10.251800000000003</v>
      </c>
      <c r="F125" s="91">
        <v>45917</v>
      </c>
      <c r="G125" t="s">
        <v>582</v>
      </c>
      <c r="H125" t="str">
        <f>INDEX('Stato patrimoniale'!Q:Q,MATCH(A125,'Stato patrimoniale'!A:A,0))</f>
        <v>Fineco-C</v>
      </c>
      <c r="I125" t="str">
        <f t="shared" si="2"/>
        <v>Fineco-C</v>
      </c>
    </row>
    <row r="126" spans="1:9" x14ac:dyDescent="0.25">
      <c r="A126">
        <v>23</v>
      </c>
      <c r="B126" t="str">
        <f>INDEX('Stato patrimoniale'!C:C,MATCH(A126,'Stato patrimoniale'!A:A,0))</f>
        <v>Microsoft</v>
      </c>
      <c r="C126" t="str">
        <f>INDEX('Stato patrimoniale'!D:D,MATCH(A126,'Stato patrimoniale'!A:A,0))</f>
        <v>A</v>
      </c>
      <c r="D126">
        <v>7.5110000000000001</v>
      </c>
      <c r="E126">
        <v>-2.6390000000000002</v>
      </c>
      <c r="F126" s="91">
        <v>45917</v>
      </c>
      <c r="G126" t="s">
        <v>582</v>
      </c>
      <c r="H126" t="str">
        <f>INDEX('Stato patrimoniale'!Q:Q,MATCH(A126,'Stato patrimoniale'!A:A,0))</f>
        <v>Fineco-C</v>
      </c>
      <c r="I126" t="str">
        <f t="shared" si="2"/>
        <v>Fineco-C</v>
      </c>
    </row>
    <row r="127" spans="1:9" x14ac:dyDescent="0.25">
      <c r="A127">
        <v>6</v>
      </c>
      <c r="B127" t="str">
        <f>INDEX('Stato patrimoniale'!C:C,MATCH(A127,'Stato patrimoniale'!A:A,0))</f>
        <v>iShares Core S&amp;P 500 UCITS ETF USD (Dist)</v>
      </c>
      <c r="C127" t="str">
        <f>INDEX('Stato patrimoniale'!D:D,MATCH(A127,'Stato patrimoniale'!A:A,0))</f>
        <v>ETF</v>
      </c>
      <c r="D127">
        <v>2.4863999999999997</v>
      </c>
      <c r="E127">
        <v>-0.87360000000000015</v>
      </c>
      <c r="F127" s="91">
        <v>45924</v>
      </c>
      <c r="G127" t="s">
        <v>582</v>
      </c>
      <c r="H127" t="str">
        <f>INDEX('Stato patrimoniale'!Q:Q,MATCH(A127,'Stato patrimoniale'!A:A,0))</f>
        <v>Fineco-C</v>
      </c>
      <c r="I127" t="str">
        <f t="shared" si="2"/>
        <v>Fineco-C</v>
      </c>
    </row>
    <row r="128" spans="1:9" x14ac:dyDescent="0.25">
      <c r="A128">
        <v>20</v>
      </c>
      <c r="B128" t="str">
        <f>INDEX('Stato patrimoniale'!C:C,MATCH(A128,'Stato patrimoniale'!A:A,0))</f>
        <v>Eni</v>
      </c>
      <c r="C128" t="str">
        <f>INDEX('Stato patrimoniale'!D:D,MATCH(A128,'Stato patrimoniale'!A:A,0))</f>
        <v>A</v>
      </c>
      <c r="D128">
        <v>3.6556000000000002</v>
      </c>
      <c r="E128">
        <v>-1.2844000000000002</v>
      </c>
      <c r="F128" s="91">
        <v>45924</v>
      </c>
      <c r="G128" t="s">
        <v>582</v>
      </c>
      <c r="H128" t="str">
        <f>INDEX('Stato patrimoniale'!Q:Q,MATCH(A128,'Stato patrimoniale'!A:A,0))</f>
        <v>Fineco-C</v>
      </c>
      <c r="I128" t="str">
        <f t="shared" si="2"/>
        <v>Fineco-C</v>
      </c>
    </row>
    <row r="129" spans="1:9" x14ac:dyDescent="0.25">
      <c r="A129">
        <v>25</v>
      </c>
      <c r="B129" t="str">
        <f>INDEX('Stato patrimoniale'!C:C,MATCH(A129,'Stato patrimoniale'!A:A,0))</f>
        <v>BTP-29ST25 3,60</v>
      </c>
      <c r="C129" t="str">
        <f>INDEX('Stato patrimoniale'!D:D,MATCH(A129,'Stato patrimoniale'!A:A,0))</f>
        <v>O</v>
      </c>
      <c r="D129">
        <v>78.75</v>
      </c>
      <c r="E129">
        <v>-11.25</v>
      </c>
      <c r="F129" s="91">
        <v>45929</v>
      </c>
      <c r="G129" t="s">
        <v>582</v>
      </c>
      <c r="H129" t="str">
        <f>INDEX('Stato patrimoniale'!Q:Q,MATCH(A129,'Stato patrimoniale'!A:A,0))</f>
        <v>Fineco-C</v>
      </c>
      <c r="I129" t="str">
        <f t="shared" si="2"/>
        <v>Fineco-C</v>
      </c>
    </row>
    <row r="130" spans="1:9" x14ac:dyDescent="0.25">
      <c r="A130">
        <v>12</v>
      </c>
      <c r="B130" t="str">
        <f>INDEX('Stato patrimoniale'!C:C,MATCH(A130,'Stato patrimoniale'!A:A,0))</f>
        <v>BTP-1OT53 4,5</v>
      </c>
      <c r="C130" t="str">
        <f>INDEX('Stato patrimoniale'!D:D,MATCH(A130,'Stato patrimoniale'!A:A,0))</f>
        <v>O</v>
      </c>
      <c r="D130">
        <v>98.4375</v>
      </c>
      <c r="E130">
        <v>-14.0625</v>
      </c>
      <c r="F130" s="91">
        <v>45931</v>
      </c>
      <c r="G130" t="s">
        <v>582</v>
      </c>
      <c r="H130" t="str">
        <f>INDEX('Stato patrimoniale'!Q:Q,MATCH(A130,'Stato patrimoniale'!A:A,0))</f>
        <v>Fineco-C</v>
      </c>
      <c r="I130" t="str">
        <f t="shared" si="2"/>
        <v>Fineco-C</v>
      </c>
    </row>
    <row r="131" spans="1:9" x14ac:dyDescent="0.25">
      <c r="A131">
        <v>3</v>
      </c>
      <c r="B131" t="str">
        <f>INDEX('Stato patrimoniale'!C:C,MATCH(A131,'Stato patrimoniale'!A:A,0))</f>
        <v>Vanguard FTSE Emerging Markets UCITS ETF (USD) Dis</v>
      </c>
      <c r="C131" t="str">
        <f>INDEX('Stato patrimoniale'!D:D,MATCH(A131,'Stato patrimoniale'!A:A,0))</f>
        <v>ETF</v>
      </c>
      <c r="D131">
        <v>3.3521999999999998</v>
      </c>
      <c r="E131">
        <v>-1.1778000000000004</v>
      </c>
      <c r="F131" s="91">
        <v>45931</v>
      </c>
      <c r="G131" t="s">
        <v>582</v>
      </c>
      <c r="H131" t="str">
        <f>INDEX('Stato patrimoniale'!Q:Q,MATCH(A131,'Stato patrimoniale'!A:A,0))</f>
        <v>Fineco-C</v>
      </c>
      <c r="I131" t="str">
        <f t="shared" si="2"/>
        <v>Fineco-C</v>
      </c>
    </row>
    <row r="132" spans="1:9" x14ac:dyDescent="0.25">
      <c r="A132">
        <v>29</v>
      </c>
      <c r="B132" t="str">
        <f>INDEX('Stato patrimoniale'!C:C,MATCH(A132,'Stato patrimoniale'!A:A,0))</f>
        <v>BTP-VAL 10OT28SU CUM</v>
      </c>
      <c r="C132" t="str">
        <f>INDEX('Stato patrimoniale'!D:D,MATCH(A132,'Stato patrimoniale'!A:A,0))</f>
        <v>O</v>
      </c>
      <c r="D132">
        <v>44.84375</v>
      </c>
      <c r="E132">
        <v>-6.40625</v>
      </c>
      <c r="F132" s="91">
        <v>45940</v>
      </c>
      <c r="G132" t="s">
        <v>582</v>
      </c>
      <c r="H132" t="str">
        <f>INDEX('Stato patrimoniale'!Q:Q,MATCH(A132,'Stato patrimoniale'!A:A,0))</f>
        <v>Fineco</v>
      </c>
      <c r="I132" t="str">
        <f t="shared" si="2"/>
        <v>Fineco</v>
      </c>
    </row>
    <row r="133" spans="1:9" x14ac:dyDescent="0.25">
      <c r="A133">
        <v>21</v>
      </c>
      <c r="B133" t="str">
        <f>INDEX('Stato patrimoniale'!C:C,MATCH(A133,'Stato patrimoniale'!A:A,0))</f>
        <v>Apple</v>
      </c>
      <c r="C133" t="str">
        <f>INDEX('Stato patrimoniale'!D:D,MATCH(A133,'Stato patrimoniale'!A:A,0))</f>
        <v>A</v>
      </c>
      <c r="D133">
        <v>0.28120000000000001</v>
      </c>
      <c r="E133">
        <v>-9.8799999999999999E-2</v>
      </c>
      <c r="F133" s="91">
        <v>45978</v>
      </c>
      <c r="G133" t="s">
        <v>582</v>
      </c>
      <c r="H133" t="str">
        <f>INDEX('Stato patrimoniale'!Q:Q,MATCH(A133,'Stato patrimoniale'!A:A,0))</f>
        <v>Fineco-C</v>
      </c>
      <c r="I133" t="str">
        <f t="shared" si="2"/>
        <v>Fineco-C</v>
      </c>
    </row>
    <row r="134" spans="1:9" x14ac:dyDescent="0.25">
      <c r="A134">
        <v>57</v>
      </c>
      <c r="B134" t="str">
        <f>INDEX('Stato patrimoniale'!C:C,MATCH(A134,'Stato patrimoniale'!A:A,0))</f>
        <v>BTP-PIU 25FB33 CUM</v>
      </c>
      <c r="C134" t="str">
        <f>INDEX('Stato patrimoniale'!D:D,MATCH(A134,'Stato patrimoniale'!A:A,0))</f>
        <v>O</v>
      </c>
      <c r="D134">
        <v>12.46875</v>
      </c>
      <c r="E134">
        <v>-1.78125</v>
      </c>
      <c r="F134" s="91">
        <v>45986</v>
      </c>
      <c r="G134" t="s">
        <v>582</v>
      </c>
      <c r="H134" t="str">
        <f>INDEX('Stato patrimoniale'!Q:Q,MATCH(A134,'Stato patrimoniale'!A:A,0))</f>
        <v>Fineco</v>
      </c>
      <c r="I134" t="str">
        <f t="shared" si="2"/>
        <v>Fineco</v>
      </c>
    </row>
    <row r="135" spans="1:9" x14ac:dyDescent="0.25">
      <c r="A135">
        <v>63</v>
      </c>
      <c r="B135" t="str">
        <f>INDEX('Stato patrimoniale'!C:C,MATCH(A135,'Stato patrimoniale'!A:A,0))</f>
        <v>BTP ITALIA-4GN32 CUM</v>
      </c>
      <c r="C135" t="str">
        <f>INDEX('Stato patrimoniale'!D:D,MATCH(A135,'Stato patrimoniale'!A:A,0))</f>
        <v>O</v>
      </c>
      <c r="D135">
        <v>20.265000000000001</v>
      </c>
      <c r="E135">
        <v>-2.8949999999999996</v>
      </c>
      <c r="F135" s="91">
        <v>45995</v>
      </c>
      <c r="G135" t="s">
        <v>582</v>
      </c>
      <c r="H135" t="str">
        <f>INDEX('Stato patrimoniale'!Q:Q,MATCH(A135,'Stato patrimoniale'!A:A,0))</f>
        <v>Fineco</v>
      </c>
      <c r="I135" t="str">
        <f t="shared" si="2"/>
        <v>Fineco</v>
      </c>
    </row>
    <row r="136" spans="1:9" x14ac:dyDescent="0.25">
      <c r="A136">
        <v>33</v>
      </c>
      <c r="B136" t="str">
        <f>INDEX('Stato patrimoniale'!C:C,MATCH(A136,'Stato patrimoniale'!A:A,0))</f>
        <v>BTP-VAL 5MZ30SU CUM</v>
      </c>
      <c r="C136" t="str">
        <f>INDEX('Stato patrimoniale'!D:D,MATCH(A136,'Stato patrimoniale'!A:A,0))</f>
        <v>O</v>
      </c>
      <c r="D136">
        <v>14.21875</v>
      </c>
      <c r="E136">
        <v>-2.03125</v>
      </c>
      <c r="F136" s="91">
        <v>45996</v>
      </c>
      <c r="G136" t="s">
        <v>582</v>
      </c>
      <c r="H136" t="str">
        <f>INDEX('Stato patrimoniale'!Q:Q,MATCH(A136,'Stato patrimoniale'!A:A,0))</f>
        <v>Fineco</v>
      </c>
      <c r="I136" t="str">
        <f t="shared" si="2"/>
        <v>Fineco</v>
      </c>
    </row>
    <row r="137" spans="1:9" x14ac:dyDescent="0.25">
      <c r="A137">
        <v>45</v>
      </c>
      <c r="B137" t="str">
        <f>INDEX('Stato patrimoniale'!C:C,MATCH(A137,'Stato patrimoniale'!A:A,0))</f>
        <v>Amundi IS Fix. Mat. 2028 Euro Gov Bd Br. UCITS ETF Dis</v>
      </c>
      <c r="C137" t="str">
        <f>INDEX('Stato patrimoniale'!D:D,MATCH(A137,'Stato patrimoniale'!A:A,0))</f>
        <v>ETF</v>
      </c>
      <c r="D137">
        <v>39.375</v>
      </c>
      <c r="E137">
        <v>-5.625</v>
      </c>
      <c r="F137" s="91">
        <v>46002</v>
      </c>
      <c r="G137" t="s">
        <v>582</v>
      </c>
      <c r="H137" t="str">
        <f>INDEX('Stato patrimoniale'!Q:Q,MATCH(A137,'Stato patrimoniale'!A:A,0))</f>
        <v>Fineco</v>
      </c>
      <c r="I137" t="str">
        <f t="shared" si="2"/>
        <v>Fineco</v>
      </c>
    </row>
    <row r="138" spans="1:9" x14ac:dyDescent="0.25">
      <c r="A138">
        <v>10</v>
      </c>
      <c r="B138" t="str">
        <f>INDEX('Stato patrimoniale'!C:C,MATCH(A138,'Stato patrimoniale'!A:A,0))</f>
        <v>BTP-VAL 13GN27SU CUM</v>
      </c>
      <c r="C138" t="str">
        <f>INDEX('Stato patrimoniale'!D:D,MATCH(A138,'Stato patrimoniale'!A:A,0))</f>
        <v>O</v>
      </c>
      <c r="D138">
        <v>175</v>
      </c>
      <c r="E138">
        <v>-25</v>
      </c>
      <c r="F138" s="91">
        <v>46006</v>
      </c>
      <c r="G138" t="s">
        <v>582</v>
      </c>
      <c r="H138" t="str">
        <f>INDEX('Stato patrimoniale'!Q:Q,MATCH(A138,'Stato patrimoniale'!A:A,0))</f>
        <v>Fineco-C</v>
      </c>
      <c r="I138" t="str">
        <f t="shared" si="2"/>
        <v>Fineco-C</v>
      </c>
    </row>
    <row r="139" spans="1:9" x14ac:dyDescent="0.25">
      <c r="A139">
        <v>23</v>
      </c>
      <c r="B139" t="str">
        <f>INDEX('Stato patrimoniale'!C:C,MATCH(A139,'Stato patrimoniale'!A:A,0))</f>
        <v>Microsoft</v>
      </c>
      <c r="C139" t="str">
        <f>INDEX('Stato patrimoniale'!D:D,MATCH(A139,'Stato patrimoniale'!A:A,0))</f>
        <v>A</v>
      </c>
      <c r="D139">
        <v>8.2805999999999997</v>
      </c>
      <c r="E139">
        <v>-2.9093999999999998</v>
      </c>
      <c r="F139" s="91">
        <v>46006</v>
      </c>
      <c r="G139" t="s">
        <v>582</v>
      </c>
      <c r="H139" t="str">
        <f>INDEX('Stato patrimoniale'!Q:Q,MATCH(A139,'Stato patrimoniale'!A:A,0))</f>
        <v>Fineco-C</v>
      </c>
      <c r="I139" t="str">
        <f t="shared" si="2"/>
        <v>Fineco-C</v>
      </c>
    </row>
    <row r="140" spans="1:9" x14ac:dyDescent="0.25">
      <c r="A140">
        <v>23</v>
      </c>
      <c r="B140" t="str">
        <f>INDEX('Stato patrimoniale'!C:C,MATCH(A140,'Stato patrimoniale'!A:A,0))</f>
        <v>Microsoft</v>
      </c>
      <c r="C140" t="str">
        <f>INDEX('Stato patrimoniale'!D:D,MATCH(A140,'Stato patrimoniale'!A:A,0))</f>
        <v>A</v>
      </c>
      <c r="D140">
        <v>32.145600000000002</v>
      </c>
      <c r="E140">
        <v>-11.294399999999996</v>
      </c>
      <c r="F140" s="91">
        <v>46006</v>
      </c>
      <c r="G140" t="s">
        <v>582</v>
      </c>
      <c r="H140" t="str">
        <f>INDEX('Stato patrimoniale'!Q:Q,MATCH(A140,'Stato patrimoniale'!A:A,0))</f>
        <v>Fineco-C</v>
      </c>
      <c r="I140" t="str">
        <f t="shared" si="2"/>
        <v>Fineco-C</v>
      </c>
    </row>
    <row r="141" spans="1:9" x14ac:dyDescent="0.25">
      <c r="A141">
        <v>19</v>
      </c>
      <c r="B141" t="str">
        <f>INDEX('Stato patrimoniale'!C:C,MATCH(A141,'Stato patrimoniale'!A:A,0))</f>
        <v>Enel</v>
      </c>
      <c r="C141" t="str">
        <f>INDEX('Stato patrimoniale'!D:D,MATCH(A141,'Stato patrimoniale'!A:A,0))</f>
        <v>A</v>
      </c>
      <c r="D141">
        <v>6.8079999999999998</v>
      </c>
      <c r="E141">
        <v>-2.3919999999999995</v>
      </c>
      <c r="F141" s="91">
        <v>46043</v>
      </c>
      <c r="G141" t="s">
        <v>582</v>
      </c>
      <c r="H141" t="str">
        <f>INDEX('Stato patrimoniale'!Q:Q,MATCH(A141,'Stato patrimoniale'!A:A,0))</f>
        <v>Fineco-C</v>
      </c>
      <c r="I141" t="str">
        <f t="shared" si="2"/>
        <v>Fineco-C</v>
      </c>
    </row>
    <row r="142" spans="1:9" x14ac:dyDescent="0.25">
      <c r="A142">
        <v>29</v>
      </c>
      <c r="B142" t="str">
        <f>INDEX('Stato patrimoniale'!C:C,MATCH(A142,'Stato patrimoniale'!A:A,0))</f>
        <v>BTP-VAL 10OT28SU CUM</v>
      </c>
      <c r="C142" t="str">
        <f>INDEX('Stato patrimoniale'!D:D,MATCH(A142,'Stato patrimoniale'!A:A,0))</f>
        <v>O</v>
      </c>
      <c r="D142">
        <v>44.84375</v>
      </c>
      <c r="E142">
        <v>-6.40625</v>
      </c>
      <c r="F142" s="91">
        <v>46034</v>
      </c>
      <c r="G142" t="s">
        <v>582</v>
      </c>
      <c r="H142" t="str">
        <f>INDEX('Stato patrimoniale'!Q:Q,MATCH(A142,'Stato patrimoniale'!A:A,0))</f>
        <v>Fineco</v>
      </c>
      <c r="I142" t="str">
        <f t="shared" si="2"/>
        <v>Fineco</v>
      </c>
    </row>
    <row r="143" spans="1:9" x14ac:dyDescent="0.25">
      <c r="A143">
        <v>37</v>
      </c>
      <c r="B143" t="str">
        <f>INDEX('Stato patrimoniale'!C:C,MATCH(A143,'Stato patrimoniale'!A:A,0))</f>
        <v>BTP-28GE26 3,2</v>
      </c>
      <c r="C143" t="str">
        <f>INDEX('Stato patrimoniale'!D:D,MATCH(A143,'Stato patrimoniale'!A:A,0))</f>
        <v>O</v>
      </c>
      <c r="D143">
        <v>28</v>
      </c>
      <c r="E143">
        <v>-4</v>
      </c>
      <c r="F143" s="91">
        <v>46050</v>
      </c>
      <c r="G143" t="s">
        <v>582</v>
      </c>
      <c r="H143" t="str">
        <f>INDEX('Stato patrimoniale'!Q:Q,MATCH(A143,'Stato patrimoniale'!A:A,0))</f>
        <v>Fineco</v>
      </c>
      <c r="I143" t="str">
        <f t="shared" si="2"/>
        <v>Fineco</v>
      </c>
    </row>
    <row r="144" spans="1:9" x14ac:dyDescent="0.25">
      <c r="A144">
        <v>73</v>
      </c>
      <c r="B144" t="str">
        <f>INDEX('Stato patrimoniale'!C:C,MATCH(A144,'Stato patrimoniale'!A:A,0))</f>
        <v>BTP VAL-28OT32 CUM</v>
      </c>
      <c r="C144" t="str">
        <f>INDEX('Stato patrimoniale'!D:D,MATCH(A144,'Stato patrimoniale'!A:A,0))</f>
        <v>O</v>
      </c>
      <c r="D144">
        <v>34.125</v>
      </c>
      <c r="E144">
        <v>-4.875</v>
      </c>
      <c r="F144" s="91">
        <v>46050</v>
      </c>
      <c r="G144" t="s">
        <v>582</v>
      </c>
      <c r="H144" t="str">
        <f>INDEX('Stato patrimoniale'!Q:Q,MATCH(A144,'Stato patrimoniale'!A:A,0))</f>
        <v>Fineco</v>
      </c>
      <c r="I144" t="str">
        <f t="shared" si="2"/>
        <v>Fineco</v>
      </c>
    </row>
    <row r="145" spans="1:9" x14ac:dyDescent="0.25">
      <c r="A145">
        <v>11</v>
      </c>
      <c r="B145" t="str">
        <f>INDEX('Stato patrimoniale'!C:C,MATCH(A145,'Stato patrimoniale'!A:A,0))</f>
        <v>USA-15FB26 6</v>
      </c>
      <c r="C145" t="str">
        <f>INDEX('Stato patrimoniale'!D:D,MATCH(A145,'Stato patrimoniale'!A:A,0))</f>
        <v>O</v>
      </c>
      <c r="D145">
        <v>110.985</v>
      </c>
      <c r="E145">
        <v>-15.855000000000004</v>
      </c>
      <c r="F145" s="91">
        <v>46070</v>
      </c>
      <c r="G145" t="s">
        <v>582</v>
      </c>
      <c r="H145" t="str">
        <f>INDEX('Stato patrimoniale'!Q:Q,MATCH(A145,'Stato patrimoniale'!A:A,0))</f>
        <v>Fineco-C</v>
      </c>
      <c r="I145" t="str">
        <f t="shared" si="2"/>
        <v>Fineco-C</v>
      </c>
    </row>
    <row r="146" spans="1:9" x14ac:dyDescent="0.25">
      <c r="A146">
        <v>21</v>
      </c>
      <c r="B146" t="str">
        <f>INDEX('Stato patrimoniale'!C:C,MATCH(A146,'Stato patrimoniale'!A:A,0))</f>
        <v>Apple</v>
      </c>
      <c r="C146" t="str">
        <f>INDEX('Stato patrimoniale'!D:D,MATCH(A146,'Stato patrimoniale'!A:A,0))</f>
        <v>A</v>
      </c>
      <c r="D146">
        <v>0.27379999999999999</v>
      </c>
      <c r="E146">
        <v>-9.6200000000000008E-2</v>
      </c>
      <c r="F146" s="91">
        <v>46071</v>
      </c>
      <c r="G146" t="s">
        <v>582</v>
      </c>
      <c r="H146" t="str">
        <f>INDEX('Stato patrimoniale'!Q:Q,MATCH(A146,'Stato patrimoniale'!A:A,0))</f>
        <v>Fineco-C</v>
      </c>
      <c r="I146" t="str">
        <f t="shared" si="2"/>
        <v>Fineco-C</v>
      </c>
    </row>
    <row r="147" spans="1:9" x14ac:dyDescent="0.25">
      <c r="A147">
        <v>57</v>
      </c>
      <c r="B147" t="str">
        <f>INDEX('Stato patrimoniale'!C:C,MATCH(A147,'Stato patrimoniale'!A:A,0))</f>
        <v>BTP-PIU 25FB33 CUM</v>
      </c>
      <c r="C147" t="str">
        <f>INDEX('Stato patrimoniale'!D:D,MATCH(A147,'Stato patrimoniale'!A:A,0))</f>
        <v>O</v>
      </c>
      <c r="D147">
        <v>12.46875</v>
      </c>
      <c r="E147">
        <v>-1.78125</v>
      </c>
      <c r="F147" s="91">
        <v>46078</v>
      </c>
      <c r="G147" t="s">
        <v>582</v>
      </c>
      <c r="H147" t="str">
        <f>INDEX('Stato patrimoniale'!Q:Q,MATCH(A147,'Stato patrimoniale'!A:A,0))</f>
        <v>Fineco</v>
      </c>
      <c r="I147" t="str">
        <f t="shared" si="2"/>
        <v>Fineco</v>
      </c>
    </row>
    <row r="148" spans="1:9" x14ac:dyDescent="0.25">
      <c r="A148">
        <v>33</v>
      </c>
      <c r="B148" t="str">
        <f>INDEX('Stato patrimoniale'!C:C,MATCH(A148,'Stato patrimoniale'!A:A,0))</f>
        <v>BTP-VAL 5MZ30SU CUM</v>
      </c>
      <c r="C148" t="str">
        <f>INDEX('Stato patrimoniale'!D:D,MATCH(A148,'Stato patrimoniale'!A:A,0))</f>
        <v>O</v>
      </c>
      <c r="D148">
        <v>14.21875</v>
      </c>
      <c r="E148">
        <v>-2.03125</v>
      </c>
      <c r="F148" s="91">
        <v>46086</v>
      </c>
      <c r="G148" t="s">
        <v>582</v>
      </c>
      <c r="H148" t="str">
        <f>INDEX('Stato patrimoniale'!Q:Q,MATCH(A148,'Stato patrimoniale'!A:A,0))</f>
        <v>Fineco</v>
      </c>
      <c r="I148" t="str">
        <f t="shared" si="2"/>
        <v>Fineco</v>
      </c>
    </row>
    <row r="149" spans="1:9" x14ac:dyDescent="0.25">
      <c r="A149">
        <v>23</v>
      </c>
      <c r="B149" t="str">
        <f>INDEX('Stato patrimoniale'!C:C,MATCH(A149,'Stato patrimoniale'!A:A,0))</f>
        <v>Microsoft</v>
      </c>
      <c r="C149" t="str">
        <f>INDEX('Stato patrimoniale'!D:D,MATCH(A149,'Stato patrimoniale'!A:A,0))</f>
        <v>A</v>
      </c>
      <c r="D149">
        <v>32.915199999999999</v>
      </c>
      <c r="E149">
        <v>-11.564799999999998</v>
      </c>
      <c r="F149" s="91">
        <v>46098</v>
      </c>
      <c r="G149" t="s">
        <v>582</v>
      </c>
      <c r="H149" t="str">
        <f>INDEX('Stato patrimoniale'!Q:Q,MATCH(A149,'Stato patrimoniale'!A:A,0))</f>
        <v>Fineco-C</v>
      </c>
      <c r="I149" t="str">
        <f t="shared" si="2"/>
        <v>Fineco-C</v>
      </c>
    </row>
    <row r="150" spans="1:9" x14ac:dyDescent="0.25">
      <c r="A150">
        <v>23</v>
      </c>
      <c r="B150" t="str">
        <f>INDEX('Stato patrimoniale'!C:C,MATCH(A150,'Stato patrimoniale'!A:A,0))</f>
        <v>Microsoft</v>
      </c>
      <c r="C150" t="str">
        <f>INDEX('Stato patrimoniale'!D:D,MATCH(A150,'Stato patrimoniale'!A:A,0))</f>
        <v>A</v>
      </c>
      <c r="D150">
        <v>16.953400000000002</v>
      </c>
      <c r="E150">
        <v>-5.9565999999999981</v>
      </c>
      <c r="F150" s="91">
        <v>46098</v>
      </c>
      <c r="G150" t="s">
        <v>582</v>
      </c>
      <c r="H150" t="str">
        <f>INDEX('Stato patrimoniale'!Q:Q,MATCH(A150,'Stato patrimoniale'!A:A,0))</f>
        <v>Fineco-C</v>
      </c>
      <c r="I150" t="str">
        <f t="shared" si="2"/>
        <v>Fineco-C</v>
      </c>
    </row>
    <row r="151" spans="1:9" x14ac:dyDescent="0.25">
      <c r="A151">
        <v>20</v>
      </c>
      <c r="B151" t="str">
        <f>INDEX('Stato patrimoniale'!C:C,MATCH(A151,'Stato patrimoniale'!A:A,0))</f>
        <v>Eni</v>
      </c>
      <c r="C151" t="str">
        <f>INDEX('Stato patrimoniale'!D:D,MATCH(A151,'Stato patrimoniale'!A:A,0))</f>
        <v>A</v>
      </c>
      <c r="D151">
        <v>3.6556000000000002</v>
      </c>
      <c r="E151">
        <v>-1.2844000000000002</v>
      </c>
      <c r="F151" s="91">
        <v>46106</v>
      </c>
      <c r="G151" t="s">
        <v>582</v>
      </c>
      <c r="H151" t="str">
        <f>INDEX('Stato patrimoniale'!Q:Q,MATCH(A151,'Stato patrimoniale'!A:A,0))</f>
        <v>Fineco-C</v>
      </c>
      <c r="I151" t="str">
        <f t="shared" si="2"/>
        <v>Fineco-C</v>
      </c>
    </row>
    <row r="152" spans="1:9" x14ac:dyDescent="0.25">
      <c r="A152">
        <v>12</v>
      </c>
      <c r="B152" t="str">
        <f>INDEX('Stato patrimoniale'!C:C,MATCH(A152,'Stato patrimoniale'!A:A,0))</f>
        <v>BTP-1OT53 4,5</v>
      </c>
      <c r="C152" t="str">
        <f>INDEX('Stato patrimoniale'!D:D,MATCH(A152,'Stato patrimoniale'!A:A,0))</f>
        <v>O</v>
      </c>
      <c r="D152">
        <v>98.4375</v>
      </c>
      <c r="E152">
        <v>-14.0625</v>
      </c>
      <c r="F152" s="91">
        <v>46113</v>
      </c>
      <c r="G152" t="s">
        <v>582</v>
      </c>
      <c r="H152" t="str">
        <f>INDEX('Stato patrimoniale'!Q:Q,MATCH(A152,'Stato patrimoniale'!A:A,0))</f>
        <v>Fineco-C</v>
      </c>
      <c r="I152" t="str">
        <f t="shared" si="2"/>
        <v>Fineco-C</v>
      </c>
    </row>
    <row r="153" spans="1:9" x14ac:dyDescent="0.25">
      <c r="A153">
        <v>58</v>
      </c>
      <c r="B153" t="str">
        <f>INDEX('Stato patrimoniale'!C:C,MATCH(A153,'Stato patrimoniale'!A:A,0))</f>
        <v>FRANCE-25FB28 0,75</v>
      </c>
      <c r="C153" t="str">
        <f>INDEX('Stato patrimoniale'!D:D,MATCH(A153,'Stato patrimoniale'!A:A,0))</f>
        <v>O</v>
      </c>
      <c r="D153">
        <v>13.125</v>
      </c>
      <c r="E153">
        <v>-1.875</v>
      </c>
      <c r="F153" s="91">
        <v>46073</v>
      </c>
      <c r="G153" t="s">
        <v>582</v>
      </c>
      <c r="H153" t="str">
        <f>INDEX('Stato patrimoniale'!Q:Q,MATCH(A153,'Stato patrimoniale'!A:A,0))</f>
        <v>Directa</v>
      </c>
      <c r="I153" t="str">
        <f t="shared" si="2"/>
        <v>Directa</v>
      </c>
    </row>
    <row r="154" spans="1:9" x14ac:dyDescent="0.25">
      <c r="A154">
        <v>29</v>
      </c>
      <c r="B154" t="str">
        <f>INDEX('Stato patrimoniale'!C:C,MATCH(A154,'Stato patrimoniale'!A:A,0))</f>
        <v>BTP-VAL 10OT28SU CUM</v>
      </c>
      <c r="C154" t="str">
        <f>INDEX('Stato patrimoniale'!D:D,MATCH(A154,'Stato patrimoniale'!A:A,0))</f>
        <v>O</v>
      </c>
      <c r="D154">
        <v>44.84375</v>
      </c>
      <c r="E154">
        <v>-6.40625</v>
      </c>
      <c r="F154" s="91">
        <v>46122</v>
      </c>
      <c r="G154" t="s">
        <v>582</v>
      </c>
      <c r="H154" t="str">
        <f>INDEX('Stato patrimoniale'!Q:Q,MATCH(A154,'Stato patrimoniale'!A:A,0))</f>
        <v>Fineco</v>
      </c>
      <c r="I154" t="str">
        <f t="shared" si="2"/>
        <v>Fineco</v>
      </c>
    </row>
    <row r="155" spans="1:9" x14ac:dyDescent="0.25">
      <c r="A155">
        <v>73</v>
      </c>
      <c r="B155" t="str">
        <f>INDEX('Stato patrimoniale'!C:C,MATCH(A155,'Stato patrimoniale'!A:A,0))</f>
        <v>BTP VAL-28OT32 CUM</v>
      </c>
      <c r="C155" t="str">
        <f>INDEX('Stato patrimoniale'!D:D,MATCH(A155,'Stato patrimoniale'!A:A,0))</f>
        <v>O</v>
      </c>
      <c r="D155">
        <v>34.125</v>
      </c>
      <c r="E155">
        <v>-4.875</v>
      </c>
      <c r="F155" s="91">
        <v>46140</v>
      </c>
      <c r="G155" t="s">
        <v>582</v>
      </c>
      <c r="H155" t="str">
        <f>INDEX('Stato patrimoniale'!Q:Q,MATCH(A155,'Stato patrimoniale'!A:A,0))</f>
        <v>Fineco</v>
      </c>
      <c r="I155" t="str">
        <f t="shared" si="2"/>
        <v>Fineco</v>
      </c>
    </row>
    <row r="156" spans="1:9" x14ac:dyDescent="0.25">
      <c r="A156">
        <v>21</v>
      </c>
      <c r="B156" t="str">
        <f>INDEX('Stato patrimoniale'!C:C,MATCH(A156,'Stato patrimoniale'!A:A,0))</f>
        <v>Apple</v>
      </c>
      <c r="C156" t="str">
        <f>INDEX('Stato patrimoniale'!D:D,MATCH(A156,'Stato patrimoniale'!A:A,0))</f>
        <v>A</v>
      </c>
      <c r="D156">
        <v>0.28860000000000002</v>
      </c>
      <c r="E156">
        <v>-0.10139999999999999</v>
      </c>
      <c r="F156" s="91">
        <v>46160</v>
      </c>
      <c r="G156" t="s">
        <v>582</v>
      </c>
      <c r="H156" t="str">
        <f>INDEX('Stato patrimoniale'!Q:Q,MATCH(A156,'Stato patrimoniale'!A:A,0))</f>
        <v>Fineco-C</v>
      </c>
      <c r="I156" t="str">
        <f t="shared" si="2"/>
        <v>Fineco-C</v>
      </c>
    </row>
    <row r="157" spans="1:9" x14ac:dyDescent="0.25">
      <c r="A157">
        <v>20</v>
      </c>
      <c r="B157" t="str">
        <f>INDEX('Stato patrimoniale'!C:C,MATCH(A157,'Stato patrimoniale'!A:A,0))</f>
        <v>Eni</v>
      </c>
      <c r="C157" t="str">
        <f>INDEX('Stato patrimoniale'!D:D,MATCH(A157,'Stato patrimoniale'!A:A,0))</f>
        <v>A</v>
      </c>
      <c r="D157">
        <v>3.7961999999999998</v>
      </c>
      <c r="E157">
        <v>-1.3338000000000001</v>
      </c>
      <c r="F157" s="91">
        <v>46162</v>
      </c>
      <c r="G157" t="s">
        <v>582</v>
      </c>
      <c r="H157" t="str">
        <f>INDEX('Stato patrimoniale'!Q:Q,MATCH(A157,'Stato patrimoniale'!A:A,0))</f>
        <v>Fineco-C</v>
      </c>
      <c r="I157" t="str">
        <f t="shared" si="2"/>
        <v>Fineco-C</v>
      </c>
    </row>
    <row r="158" spans="1:9" x14ac:dyDescent="0.25">
      <c r="A158">
        <v>57</v>
      </c>
      <c r="B158" t="str">
        <f>INDEX('Stato patrimoniale'!C:C,MATCH(A158,'Stato patrimoniale'!A:A,0))</f>
        <v>BTP-PIU 25FB33 CUM</v>
      </c>
      <c r="C158" t="str">
        <f>INDEX('Stato patrimoniale'!D:D,MATCH(A158,'Stato patrimoniale'!A:A,0))</f>
        <v>O</v>
      </c>
      <c r="D158">
        <v>12.46875</v>
      </c>
      <c r="E158">
        <v>-1.78125</v>
      </c>
      <c r="F158" s="91">
        <v>46167</v>
      </c>
      <c r="G158" t="s">
        <v>582</v>
      </c>
      <c r="H158" t="str">
        <f>INDEX('Stato patrimoniale'!Q:Q,MATCH(A158,'Stato patrimoniale'!A:A,0))</f>
        <v>Fineco</v>
      </c>
      <c r="I158" t="str">
        <f t="shared" si="2"/>
        <v>Fineco</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89F5-1919-4A8C-973E-9C543116703B}">
  <sheetPr codeName="Sheet3"/>
  <dimension ref="A1:AD47"/>
  <sheetViews>
    <sheetView topLeftCell="A26" workbookViewId="0">
      <selection activeCell="U15" sqref="U15"/>
    </sheetView>
  </sheetViews>
  <sheetFormatPr defaultRowHeight="15" x14ac:dyDescent="0.25"/>
  <cols>
    <col min="1" max="1" width="53.5703125" bestFit="1" customWidth="1"/>
    <col min="2" max="2" width="13.28515625" customWidth="1"/>
    <col min="16" max="16" width="53.5703125" bestFit="1" customWidth="1"/>
  </cols>
  <sheetData>
    <row r="1" spans="1:30" x14ac:dyDescent="0.25">
      <c r="A1" s="64" t="s">
        <v>286</v>
      </c>
      <c r="B1" s="64"/>
      <c r="C1" s="65"/>
      <c r="D1" s="64"/>
      <c r="E1" s="64"/>
      <c r="F1" s="64"/>
      <c r="G1" s="64"/>
      <c r="H1" s="64"/>
      <c r="I1" s="64"/>
      <c r="J1" s="64"/>
      <c r="K1" s="64"/>
      <c r="L1" s="64"/>
      <c r="M1" s="64"/>
      <c r="N1" s="64"/>
      <c r="O1" s="64"/>
      <c r="P1" s="64" t="s">
        <v>287</v>
      </c>
      <c r="Q1" s="64"/>
      <c r="R1" s="64"/>
      <c r="S1" s="64"/>
      <c r="T1" s="64"/>
      <c r="U1" s="64"/>
      <c r="V1" s="64"/>
      <c r="W1" s="64"/>
      <c r="X1" s="64"/>
      <c r="Y1" s="64"/>
      <c r="Z1" s="64"/>
      <c r="AA1" s="64"/>
      <c r="AB1" s="64"/>
      <c r="AC1" s="64"/>
      <c r="AD1" s="64"/>
    </row>
    <row r="2" spans="1:30" ht="45" x14ac:dyDescent="0.25">
      <c r="A2" s="9" t="s">
        <v>1</v>
      </c>
      <c r="B2" s="9" t="s">
        <v>415</v>
      </c>
      <c r="C2" s="63" t="s">
        <v>281</v>
      </c>
      <c r="D2" s="9" t="s">
        <v>282</v>
      </c>
      <c r="E2" s="9" t="s">
        <v>14</v>
      </c>
      <c r="F2" s="9" t="s">
        <v>20</v>
      </c>
      <c r="G2" s="9"/>
      <c r="H2" s="9"/>
      <c r="I2" s="9"/>
      <c r="J2" s="9"/>
      <c r="K2" s="9"/>
      <c r="L2" s="9"/>
      <c r="M2" s="9"/>
      <c r="N2" s="9"/>
      <c r="O2" s="9"/>
      <c r="P2" s="9" t="s">
        <v>1</v>
      </c>
      <c r="Q2" s="63" t="s">
        <v>281</v>
      </c>
      <c r="R2" s="9" t="s">
        <v>284</v>
      </c>
      <c r="S2" s="9" t="s">
        <v>285</v>
      </c>
      <c r="T2" s="9" t="s">
        <v>283</v>
      </c>
      <c r="U2" s="9"/>
      <c r="V2" s="9"/>
      <c r="W2" s="9"/>
      <c r="X2" s="9"/>
      <c r="Y2" s="9"/>
      <c r="Z2" s="9"/>
      <c r="AA2" s="9"/>
      <c r="AB2" s="9"/>
      <c r="AC2" s="9"/>
      <c r="AD2" s="9"/>
    </row>
    <row r="3" spans="1:30" x14ac:dyDescent="0.25">
      <c r="A3" t="str" cm="1">
        <f t="array" ref="A3:A47">_xlfn.UNIQUE('Stato patrimoniale'!C2:C106)</f>
        <v>CNH Industrial</v>
      </c>
      <c r="B3" s="71">
        <f ca="1">D3/SUM($D$3:$D$40)</f>
        <v>0</v>
      </c>
      <c r="C3" s="61">
        <f>SUMIFS('Stato patrimoniale'!W:W,'Stato patrimoniale'!$AG:$AG,"",'Stato patrimoniale'!$C:$C,$A3,'Stato patrimoniale'!$B:$B,1)</f>
        <v>0</v>
      </c>
      <c r="D3" s="61">
        <f>SUMIFS('Stato patrimoniale'!AD:AD,'Stato patrimoniale'!$AG:$AG,"",'Stato patrimoniale'!$C:$C,$A3,'Stato patrimoniale'!$B:$B,1)</f>
        <v>0</v>
      </c>
      <c r="E3" s="61">
        <f t="shared" ref="E3:E46" si="0">D3-C3</f>
        <v>0</v>
      </c>
      <c r="F3" s="62" t="str">
        <f t="shared" ref="F3:F46" si="1">IF(C3=0,"",E3/C3)</f>
        <v/>
      </c>
      <c r="P3" t="str" cm="1">
        <f t="array" ref="P3:P47">_xlfn.UNIQUE('Stato patrimoniale'!C2:C106)</f>
        <v>CNH Industrial</v>
      </c>
      <c r="Q3" s="61">
        <f>SUMIFS('Stato patrimoniale'!W:W,'Stato patrimoniale'!$AG:$AG,"&gt;0",'Stato patrimoniale'!$C:$C,$P3,'Stato patrimoniale'!$B:$B,1)</f>
        <v>249.53399999999999</v>
      </c>
      <c r="R3" s="61">
        <f>SUMIFS('Stato patrimoniale'!AP:AP,'Stato patrimoniale'!$AG:$AG,"&gt;0",'Stato patrimoniale'!$C:$C,$P3,'Stato patrimoniale'!$B:$B,1)</f>
        <v>167.19160000000002</v>
      </c>
      <c r="S3" s="61">
        <f>R3-Q3</f>
        <v>-82.342399999999969</v>
      </c>
      <c r="T3" s="62">
        <f>IF(Q3=0,"",S3/Q3)</f>
        <v>-0.32998469146489046</v>
      </c>
    </row>
    <row r="4" spans="1:30" x14ac:dyDescent="0.25">
      <c r="A4" t="str">
        <v>Unicredit</v>
      </c>
      <c r="B4" s="71">
        <f t="shared" ref="B4:B46" ca="1" si="2">D4/SUM($D$3:$D$40)</f>
        <v>0</v>
      </c>
      <c r="C4" s="61">
        <f>SUMIFS('Stato patrimoniale'!W:W,'Stato patrimoniale'!$AG:$AG,"",'Stato patrimoniale'!$C:$C,$A4,'Stato patrimoniale'!$B:$B,1)</f>
        <v>0</v>
      </c>
      <c r="D4" s="61">
        <f>SUMIFS('Stato patrimoniale'!AD:AD,'Stato patrimoniale'!$AG:$AG,"",'Stato patrimoniale'!$C:$C,$A4,'Stato patrimoniale'!$B:$B,1)</f>
        <v>0</v>
      </c>
      <c r="E4" s="61">
        <f t="shared" si="0"/>
        <v>0</v>
      </c>
      <c r="F4" s="62" t="str">
        <f t="shared" si="1"/>
        <v/>
      </c>
      <c r="P4" t="str">
        <v>Unicredit</v>
      </c>
      <c r="Q4" s="61">
        <f>SUMIFS('Stato patrimoniale'!W:W,'Stato patrimoniale'!$AG:$AG,"&gt;0",'Stato patrimoniale'!$C:$C,$P4,'Stato patrimoniale'!$B:$B,1)</f>
        <v>246.59799999999998</v>
      </c>
      <c r="R4" s="61">
        <f>SUMIFS('Stato patrimoniale'!AP:AP,'Stato patrimoniale'!$AG:$AG,"&gt;0",'Stato patrimoniale'!$C:$C,$P4,'Stato patrimoniale'!$B:$B,1)</f>
        <v>514.26480000000004</v>
      </c>
      <c r="S4" s="61">
        <f t="shared" ref="S4:S46" si="3">R4-Q4</f>
        <v>267.66680000000008</v>
      </c>
      <c r="T4" s="62">
        <f t="shared" ref="T4:T46" si="4">IF(Q4=0,"",S4/Q4)</f>
        <v>1.0854378381008771</v>
      </c>
    </row>
    <row r="5" spans="1:30" x14ac:dyDescent="0.25">
      <c r="A5" t="str">
        <v>Poste Italiane</v>
      </c>
      <c r="B5" s="71">
        <f t="shared" ca="1" si="2"/>
        <v>0</v>
      </c>
      <c r="C5" s="61">
        <f>SUMIFS('Stato patrimoniale'!W:W,'Stato patrimoniale'!$AG:$AG,"",'Stato patrimoniale'!$C:$C,$A5,'Stato patrimoniale'!$B:$B,1)</f>
        <v>0</v>
      </c>
      <c r="D5" s="61">
        <f>SUMIFS('Stato patrimoniale'!AD:AD,'Stato patrimoniale'!$AG:$AG,"",'Stato patrimoniale'!$C:$C,$A5,'Stato patrimoniale'!$B:$B,1)</f>
        <v>0</v>
      </c>
      <c r="E5" s="61">
        <f t="shared" si="0"/>
        <v>0</v>
      </c>
      <c r="F5" s="62" t="str">
        <f t="shared" si="1"/>
        <v/>
      </c>
      <c r="P5" t="str">
        <v>Poste Italiane</v>
      </c>
      <c r="Q5" s="61">
        <f>SUMIFS('Stato patrimoniale'!W:W,'Stato patrimoniale'!$AG:$AG,"&gt;0",'Stato patrimoniale'!$C:$C,$P5,'Stato patrimoniale'!$B:$B,1)</f>
        <v>256.95</v>
      </c>
      <c r="R5" s="61">
        <f>SUMIFS('Stato patrimoniale'!AP:AP,'Stato patrimoniale'!$AG:$AG,"&gt;0",'Stato patrimoniale'!$C:$C,$P5,'Stato patrimoniale'!$B:$B,1)</f>
        <v>545.8374</v>
      </c>
      <c r="S5" s="61">
        <f t="shared" si="3"/>
        <v>288.88740000000001</v>
      </c>
      <c r="T5" s="62">
        <f t="shared" si="4"/>
        <v>1.1242942206654993</v>
      </c>
    </row>
    <row r="6" spans="1:30" x14ac:dyDescent="0.25">
      <c r="A6" t="str">
        <v>STMicroElectronics</v>
      </c>
      <c r="B6" s="71">
        <f t="shared" ca="1" si="2"/>
        <v>0</v>
      </c>
      <c r="C6" s="61">
        <f>SUMIFS('Stato patrimoniale'!W:W,'Stato patrimoniale'!$AG:$AG,"",'Stato patrimoniale'!$C:$C,$A6,'Stato patrimoniale'!$B:$B,1)</f>
        <v>0</v>
      </c>
      <c r="D6" s="61">
        <f>SUMIFS('Stato patrimoniale'!AD:AD,'Stato patrimoniale'!$AG:$AG,"",'Stato patrimoniale'!$C:$C,$A6,'Stato patrimoniale'!$B:$B,1)</f>
        <v>0</v>
      </c>
      <c r="E6" s="61">
        <f t="shared" si="0"/>
        <v>0</v>
      </c>
      <c r="F6" s="62" t="str">
        <f t="shared" si="1"/>
        <v/>
      </c>
      <c r="P6" t="str">
        <v>STMicroElectronics</v>
      </c>
      <c r="Q6" s="61">
        <f>SUMIFS('Stato patrimoniale'!W:W,'Stato patrimoniale'!$AG:$AG,"&gt;0",'Stato patrimoniale'!$C:$C,$P6,'Stato patrimoniale'!$B:$B,1)</f>
        <v>230.45000000000002</v>
      </c>
      <c r="R6" s="61">
        <f>SUMIFS('Stato patrimoniale'!AP:AP,'Stato patrimoniale'!$AG:$AG,"&gt;0",'Stato patrimoniale'!$C:$C,$P6,'Stato patrimoniale'!$B:$B,1)</f>
        <v>136.84920000000002</v>
      </c>
      <c r="S6" s="61">
        <f t="shared" si="3"/>
        <v>-93.600799999999992</v>
      </c>
      <c r="T6" s="62">
        <f t="shared" si="4"/>
        <v>-0.40616532870470812</v>
      </c>
    </row>
    <row r="7" spans="1:30" x14ac:dyDescent="0.25">
      <c r="A7" t="str">
        <v>Intesa San Paolo</v>
      </c>
      <c r="B7" s="71">
        <f t="shared" ca="1" si="2"/>
        <v>0</v>
      </c>
      <c r="C7" s="61">
        <f>SUMIFS('Stato patrimoniale'!W:W,'Stato patrimoniale'!$AG:$AG,"",'Stato patrimoniale'!$C:$C,$A7,'Stato patrimoniale'!$B:$B,1)</f>
        <v>0</v>
      </c>
      <c r="D7" s="61">
        <f>SUMIFS('Stato patrimoniale'!AD:AD,'Stato patrimoniale'!$AG:$AG,"",'Stato patrimoniale'!$C:$C,$A7,'Stato patrimoniale'!$B:$B,1)</f>
        <v>0</v>
      </c>
      <c r="E7" s="61">
        <f t="shared" si="0"/>
        <v>0</v>
      </c>
      <c r="F7" s="62" t="str">
        <f t="shared" si="1"/>
        <v/>
      </c>
      <c r="P7" t="str">
        <v>Intesa San Paolo</v>
      </c>
      <c r="Q7" s="61">
        <f>SUMIFS('Stato patrimoniale'!W:W,'Stato patrimoniale'!$AG:$AG,"&gt;0",'Stato patrimoniale'!$C:$C,$P7,'Stato patrimoniale'!$B:$B,1)</f>
        <v>255.45</v>
      </c>
      <c r="R7" s="61">
        <f>SUMIFS('Stato patrimoniale'!AP:AP,'Stato patrimoniale'!$AG:$AG,"&gt;0",'Stato patrimoniale'!$C:$C,$P7,'Stato patrimoniale'!$B:$B,1)</f>
        <v>555.08799999999997</v>
      </c>
      <c r="S7" s="61">
        <f t="shared" si="3"/>
        <v>299.63799999999998</v>
      </c>
      <c r="T7" s="62">
        <f t="shared" si="4"/>
        <v>1.1729810138970445</v>
      </c>
    </row>
    <row r="8" spans="1:30" x14ac:dyDescent="0.25">
      <c r="A8" t="str">
        <v>Leonardo</v>
      </c>
      <c r="B8" s="71">
        <f t="shared" ca="1" si="2"/>
        <v>0</v>
      </c>
      <c r="C8" s="61">
        <f>SUMIFS('Stato patrimoniale'!W:W,'Stato patrimoniale'!$AG:$AG,"",'Stato patrimoniale'!$C:$C,$A8,'Stato patrimoniale'!$B:$B,1)</f>
        <v>0</v>
      </c>
      <c r="D8" s="61">
        <f>SUMIFS('Stato patrimoniale'!AD:AD,'Stato patrimoniale'!$AG:$AG,"",'Stato patrimoniale'!$C:$C,$A8,'Stato patrimoniale'!$B:$B,1)</f>
        <v>0</v>
      </c>
      <c r="E8" s="61">
        <f t="shared" si="0"/>
        <v>0</v>
      </c>
      <c r="F8" s="62" t="str">
        <f t="shared" si="1"/>
        <v/>
      </c>
      <c r="P8" t="str">
        <v>Leonardo</v>
      </c>
      <c r="Q8" s="61">
        <f>SUMIFS('Stato patrimoniale'!W:W,'Stato patrimoniale'!$AG:$AG,"&gt;0",'Stato patrimoniale'!$C:$C,$P8,'Stato patrimoniale'!$B:$B,1)</f>
        <v>244.44</v>
      </c>
      <c r="R8" s="61">
        <f>SUMIFS('Stato patrimoniale'!AP:AP,'Stato patrimoniale'!$AG:$AG,"&gt;0",'Stato patrimoniale'!$C:$C,$P8,'Stato patrimoniale'!$B:$B,1)</f>
        <v>500</v>
      </c>
      <c r="S8" s="61">
        <f t="shared" si="3"/>
        <v>255.56</v>
      </c>
      <c r="T8" s="62">
        <f t="shared" si="4"/>
        <v>1.0454917362133858</v>
      </c>
    </row>
    <row r="9" spans="1:30" x14ac:dyDescent="0.25">
      <c r="A9" t="str">
        <v>Enel</v>
      </c>
      <c r="B9" s="71">
        <f t="shared" ca="1" si="2"/>
        <v>2.500886779887503E-3</v>
      </c>
      <c r="C9" s="61">
        <f>SUMIFS('Stato patrimoniale'!W:W,'Stato patrimoniale'!$AG:$AG,"",'Stato patrimoniale'!$C:$C,$A9,'Stato patrimoniale'!$B:$B,1)</f>
        <v>252.51999999999998</v>
      </c>
      <c r="D9" s="61">
        <f ca="1">SUMIFS('Stato patrimoniale'!AD:AD,'Stato patrimoniale'!$AG:$AG,"",'Stato patrimoniale'!$C:$C,$A9,'Stato patrimoniale'!$B:$B,1)</f>
        <v>429.11200074632188</v>
      </c>
      <c r="E9" s="61">
        <f t="shared" ca="1" si="0"/>
        <v>176.5920007463219</v>
      </c>
      <c r="F9" s="62">
        <f t="shared" ca="1" si="1"/>
        <v>0.69931886878790561</v>
      </c>
      <c r="P9" t="str">
        <v>Enel</v>
      </c>
      <c r="Q9" s="61">
        <f>SUMIFS('Stato patrimoniale'!W:W,'Stato patrimoniale'!$AG:$AG,"&gt;0",'Stato patrimoniale'!$C:$C,$P9,'Stato patrimoniale'!$B:$B,1)</f>
        <v>0</v>
      </c>
      <c r="R9" s="61">
        <f>SUMIFS('Stato patrimoniale'!AP:AP,'Stato patrimoniale'!$AG:$AG,"&gt;0",'Stato patrimoniale'!$C:$C,$P9,'Stato patrimoniale'!$B:$B,1)</f>
        <v>0</v>
      </c>
      <c r="S9" s="61">
        <f t="shared" si="3"/>
        <v>0</v>
      </c>
      <c r="T9" s="62" t="str">
        <f t="shared" si="4"/>
        <v/>
      </c>
    </row>
    <row r="10" spans="1:30" x14ac:dyDescent="0.25">
      <c r="A10" t="str">
        <v>Eni</v>
      </c>
      <c r="B10" s="71">
        <f t="shared" ca="1" si="2"/>
        <v>2.7948420349313925E-3</v>
      </c>
      <c r="C10" s="61">
        <f>SUMIFS('Stato patrimoniale'!W:W,'Stato patrimoniale'!$AG:$AG,"",'Stato patrimoniale'!$C:$C,$A10,'Stato patrimoniale'!$B:$B,1)</f>
        <v>264.99299999999999</v>
      </c>
      <c r="D10" s="61">
        <f ca="1">SUMIFS('Stato patrimoniale'!AD:AD,'Stato patrimoniale'!$AG:$AG,"",'Stato patrimoniale'!$C:$C,$A10,'Stato patrimoniale'!$B:$B,1)</f>
        <v>479.55000083341611</v>
      </c>
      <c r="E10" s="61">
        <f t="shared" ca="1" si="0"/>
        <v>214.55700083341611</v>
      </c>
      <c r="F10" s="62">
        <f t="shared" ca="1" si="1"/>
        <v>0.80967044726998871</v>
      </c>
      <c r="P10" t="str">
        <v>Eni</v>
      </c>
      <c r="Q10" s="61">
        <f>SUMIFS('Stato patrimoniale'!W:W,'Stato patrimoniale'!$AG:$AG,"&gt;0",'Stato patrimoniale'!$C:$C,$P10,'Stato patrimoniale'!$B:$B,1)</f>
        <v>0</v>
      </c>
      <c r="R10" s="61">
        <f>SUMIFS('Stato patrimoniale'!AP:AP,'Stato patrimoniale'!$AG:$AG,"&gt;0",'Stato patrimoniale'!$C:$C,$P10,'Stato patrimoniale'!$B:$B,1)</f>
        <v>0</v>
      </c>
      <c r="S10" s="61">
        <f t="shared" si="3"/>
        <v>0</v>
      </c>
      <c r="T10" s="62" t="str">
        <f t="shared" si="4"/>
        <v/>
      </c>
    </row>
    <row r="11" spans="1:30" x14ac:dyDescent="0.25">
      <c r="A11" t="str">
        <v>Apple</v>
      </c>
      <c r="B11" s="71">
        <f t="shared" ca="1" si="2"/>
        <v>3.1284282813580054E-3</v>
      </c>
      <c r="C11" s="61">
        <f>SUMIFS('Stato patrimoniale'!W:W,'Stato patrimoniale'!$AG:$AG,"",'Stato patrimoniale'!$C:$C,$A11,'Stato patrimoniale'!$B:$B,1)</f>
        <v>282.06147967999993</v>
      </c>
      <c r="D11" s="61">
        <f ca="1">SUMIFS('Stato patrimoniale'!AD:AD,'Stato patrimoniale'!$AG:$AG,"",'Stato patrimoniale'!$C:$C,$A11,'Stato patrimoniale'!$B:$B,1)</f>
        <v>536.78804246599998</v>
      </c>
      <c r="E11" s="61">
        <f t="shared" ca="1" si="0"/>
        <v>254.72656278600004</v>
      </c>
      <c r="F11" s="62">
        <f t="shared" ca="1" si="1"/>
        <v>0.90308879849523771</v>
      </c>
      <c r="P11" t="str">
        <v>Apple</v>
      </c>
      <c r="Q11" s="61">
        <f>SUMIFS('Stato patrimoniale'!W:W,'Stato patrimoniale'!$AG:$AG,"&gt;0",'Stato patrimoniale'!$C:$C,$P11,'Stato patrimoniale'!$B:$B,1)</f>
        <v>0</v>
      </c>
      <c r="R11" s="61">
        <f>SUMIFS('Stato patrimoniale'!AP:AP,'Stato patrimoniale'!$AG:$AG,"&gt;0",'Stato patrimoniale'!$C:$C,$P11,'Stato patrimoniale'!$B:$B,1)</f>
        <v>0</v>
      </c>
      <c r="S11" s="61">
        <f t="shared" si="3"/>
        <v>0</v>
      </c>
      <c r="T11" s="62" t="str">
        <f t="shared" si="4"/>
        <v/>
      </c>
    </row>
    <row r="12" spans="1:30" x14ac:dyDescent="0.25">
      <c r="A12" t="str">
        <v>Amazon</v>
      </c>
      <c r="B12" s="71">
        <f t="shared" ca="1" si="2"/>
        <v>0</v>
      </c>
      <c r="C12" s="61">
        <f>SUMIFS('Stato patrimoniale'!W:W,'Stato patrimoniale'!$AG:$AG,"",'Stato patrimoniale'!$C:$C,$A12,'Stato patrimoniale'!$B:$B,1)</f>
        <v>0</v>
      </c>
      <c r="D12" s="61">
        <f>SUMIFS('Stato patrimoniale'!AD:AD,'Stato patrimoniale'!$AG:$AG,"",'Stato patrimoniale'!$C:$C,$A12,'Stato patrimoniale'!$B:$B,1)</f>
        <v>0</v>
      </c>
      <c r="E12" s="61">
        <f t="shared" si="0"/>
        <v>0</v>
      </c>
      <c r="F12" s="62" t="str">
        <f t="shared" si="1"/>
        <v/>
      </c>
      <c r="P12" t="str">
        <v>Amazon</v>
      </c>
      <c r="Q12" s="61">
        <f>SUMIFS('Stato patrimoniale'!W:W,'Stato patrimoniale'!$AG:$AG,"&gt;0",'Stato patrimoniale'!$C:$C,$P12,'Stato patrimoniale'!$B:$B,1)</f>
        <v>217.78285624697997</v>
      </c>
      <c r="R12" s="61">
        <f>SUMIFS('Stato patrimoniale'!AP:AP,'Stato patrimoniale'!$AG:$AG,"&gt;0",'Stato patrimoniale'!$C:$C,$P12,'Stato patrimoniale'!$B:$B,1)</f>
        <v>383.21194575999999</v>
      </c>
      <c r="S12" s="61">
        <f t="shared" si="3"/>
        <v>165.42908951302002</v>
      </c>
      <c r="T12" s="62">
        <f t="shared" si="4"/>
        <v>0.75960565658764545</v>
      </c>
    </row>
    <row r="13" spans="1:30" x14ac:dyDescent="0.25">
      <c r="A13" t="str">
        <v>Microsoft</v>
      </c>
      <c r="B13" s="71">
        <f t="shared" ca="1" si="2"/>
        <v>0.21344935884884886</v>
      </c>
      <c r="C13" s="61">
        <f>SUMIFS('Stato patrimoniale'!W:W,'Stato patrimoniale'!$AG:$AG,"",'Stato patrimoniale'!$C:$C,$A13,'Stato patrimoniale'!$B:$B,1)</f>
        <v>25000.027999999998</v>
      </c>
      <c r="D13" s="61">
        <f ca="1">SUMIFS('Stato patrimoniale'!AD:AD,'Stato patrimoniale'!$AG:$AG,"",'Stato patrimoniale'!$C:$C,$A13,'Stato patrimoniale'!$B:$B,1)</f>
        <v>36624.481432049994</v>
      </c>
      <c r="E13" s="61">
        <f t="shared" ca="1" si="0"/>
        <v>11624.453432049995</v>
      </c>
      <c r="F13" s="62">
        <f t="shared" ca="1" si="1"/>
        <v>0.46497761650706937</v>
      </c>
      <c r="P13" t="str">
        <v>Microsoft</v>
      </c>
      <c r="Q13" s="61">
        <f>SUMIFS('Stato patrimoniale'!W:W,'Stato patrimoniale'!$AG:$AG,"&gt;0",'Stato patrimoniale'!$C:$C,$P13,'Stato patrimoniale'!$B:$B,1)</f>
        <v>3463.6000000000004</v>
      </c>
      <c r="R13" s="61">
        <f>SUMIFS('Stato patrimoniale'!AP:AP,'Stato patrimoniale'!$AG:$AG,"&gt;0",'Stato patrimoniale'!$C:$C,$P13,'Stato patrimoniale'!$B:$B,1)</f>
        <v>7747.5124680000008</v>
      </c>
      <c r="S13" s="61">
        <f t="shared" si="3"/>
        <v>4283.9124680000004</v>
      </c>
      <c r="T13" s="62">
        <f t="shared" si="4"/>
        <v>1.2368381071717289</v>
      </c>
    </row>
    <row r="14" spans="1:30" x14ac:dyDescent="0.25">
      <c r="A14" t="str">
        <v>iShares Core MSCI World UCITS ETF USD (Acc)</v>
      </c>
      <c r="B14" s="71">
        <f t="shared" ca="1" si="2"/>
        <v>9.3387529571953704E-3</v>
      </c>
      <c r="C14" s="61">
        <f>SUMIFS('Stato patrimoniale'!W:W,'Stato patrimoniale'!$AG:$AG,"",'Stato patrimoniale'!$C:$C,$A14,'Stato patrimoniale'!$B:$B,1)</f>
        <v>1000.9399999999999</v>
      </c>
      <c r="D14" s="61">
        <f ca="1">SUMIFS('Stato patrimoniale'!AD:AD,'Stato patrimoniale'!$AG:$AG,"",'Stato patrimoniale'!$C:$C,$A14,'Stato patrimoniale'!$B:$B,1)</f>
        <v>1602.380003031564</v>
      </c>
      <c r="E14" s="61">
        <f t="shared" ca="1" si="0"/>
        <v>601.44000303156406</v>
      </c>
      <c r="F14" s="62">
        <f t="shared" ca="1" si="1"/>
        <v>0.60087518036202381</v>
      </c>
      <c r="P14" t="str">
        <v>iShares Core MSCI World UCITS ETF USD (Acc)</v>
      </c>
      <c r="Q14" s="61">
        <f>SUMIFS('Stato patrimoniale'!W:W,'Stato patrimoniale'!$AG:$AG,"&gt;0",'Stato patrimoniale'!$C:$C,$P14,'Stato patrimoniale'!$B:$B,1)</f>
        <v>0</v>
      </c>
      <c r="R14" s="61">
        <f>SUMIFS('Stato patrimoniale'!AP:AP,'Stato patrimoniale'!$AG:$AG,"&gt;0",'Stato patrimoniale'!$C:$C,$P14,'Stato patrimoniale'!$B:$B,1)</f>
        <v>0</v>
      </c>
      <c r="S14" s="61">
        <f t="shared" si="3"/>
        <v>0</v>
      </c>
      <c r="T14" s="62" t="str">
        <f t="shared" si="4"/>
        <v/>
      </c>
    </row>
    <row r="15" spans="1:30" x14ac:dyDescent="0.25">
      <c r="A15" t="str">
        <v>Vanguard FTSE Emerging Markets UCITS ETF (USD) Dis</v>
      </c>
      <c r="B15" s="71">
        <f t="shared" ca="1" si="2"/>
        <v>0</v>
      </c>
      <c r="C15" s="61">
        <f>SUMIFS('Stato patrimoniale'!W:W,'Stato patrimoniale'!$AG:$AG,"",'Stato patrimoniale'!$C:$C,$A15,'Stato patrimoniale'!$B:$B,1)</f>
        <v>0</v>
      </c>
      <c r="D15" s="61">
        <f>SUMIFS('Stato patrimoniale'!AD:AD,'Stato patrimoniale'!$AG:$AG,"",'Stato patrimoniale'!$C:$C,$A15,'Stato patrimoniale'!$B:$B,1)</f>
        <v>0</v>
      </c>
      <c r="E15" s="61">
        <f t="shared" si="0"/>
        <v>0</v>
      </c>
      <c r="F15" s="62" t="str">
        <f t="shared" si="1"/>
        <v/>
      </c>
      <c r="P15" t="str">
        <v>Vanguard FTSE Emerging Markets UCITS ETF (USD) Dis</v>
      </c>
      <c r="Q15" s="61">
        <f>SUMIFS('Stato patrimoniale'!W:W,'Stato patrimoniale'!$AG:$AG,"&gt;0",'Stato patrimoniale'!$C:$C,$P15,'Stato patrimoniale'!$B:$B,1)</f>
        <v>516.05000000000007</v>
      </c>
      <c r="R15" s="61">
        <f>SUMIFS('Stato patrimoniale'!AP:AP,'Stato patrimoniale'!$AG:$AG,"&gt;0",'Stato patrimoniale'!$C:$C,$P15,'Stato patrimoniale'!$B:$B,1)</f>
        <v>661.58799999999997</v>
      </c>
      <c r="S15" s="61">
        <f t="shared" si="3"/>
        <v>145.5379999999999</v>
      </c>
      <c r="T15" s="62">
        <f t="shared" si="4"/>
        <v>0.28202305978102871</v>
      </c>
    </row>
    <row r="16" spans="1:30" x14ac:dyDescent="0.25">
      <c r="A16" t="str">
        <v>iShares Global Clean Energy UCITS ETF USD (Dist)</v>
      </c>
      <c r="B16" s="71">
        <f t="shared" ca="1" si="2"/>
        <v>0</v>
      </c>
      <c r="C16" s="61">
        <f>SUMIFS('Stato patrimoniale'!W:W,'Stato patrimoniale'!$AG:$AG,"",'Stato patrimoniale'!$C:$C,$A16,'Stato patrimoniale'!$B:$B,1)</f>
        <v>0</v>
      </c>
      <c r="D16" s="61">
        <f>SUMIFS('Stato patrimoniale'!AD:AD,'Stato patrimoniale'!$AG:$AG,"",'Stato patrimoniale'!$C:$C,$A16,'Stato patrimoniale'!$B:$B,1)</f>
        <v>0</v>
      </c>
      <c r="E16" s="61">
        <f t="shared" si="0"/>
        <v>0</v>
      </c>
      <c r="F16" s="62" t="str">
        <f t="shared" si="1"/>
        <v/>
      </c>
      <c r="P16" t="str">
        <v>iShares Global Clean Energy UCITS ETF USD (Dist)</v>
      </c>
      <c r="Q16" s="61">
        <f>SUMIFS('Stato patrimoniale'!W:W,'Stato patrimoniale'!$AG:$AG,"&gt;0",'Stato patrimoniale'!$C:$C,$P16,'Stato patrimoniale'!$B:$B,1)</f>
        <v>484.7</v>
      </c>
      <c r="R16" s="61">
        <f>SUMIFS('Stato patrimoniale'!AP:AP,'Stato patrimoniale'!$AG:$AG,"&gt;0",'Stato patrimoniale'!$C:$C,$P16,'Stato patrimoniale'!$B:$B,1)</f>
        <v>368.43291680000004</v>
      </c>
      <c r="S16" s="61">
        <f t="shared" si="3"/>
        <v>-116.26708319999995</v>
      </c>
      <c r="T16" s="62">
        <f t="shared" si="4"/>
        <v>-0.23987432061068692</v>
      </c>
    </row>
    <row r="17" spans="1:20" x14ac:dyDescent="0.25">
      <c r="A17" t="str">
        <v>iShares Core S&amp;P 500 UCITS ETF USD (Dist)</v>
      </c>
      <c r="B17" s="71">
        <f t="shared" ca="1" si="2"/>
        <v>0</v>
      </c>
      <c r="C17" s="61">
        <f>SUMIFS('Stato patrimoniale'!W:W,'Stato patrimoniale'!$AG:$AG,"",'Stato patrimoniale'!$C:$C,$A17,'Stato patrimoniale'!$B:$B,1)</f>
        <v>0</v>
      </c>
      <c r="D17" s="61">
        <f>SUMIFS('Stato patrimoniale'!AD:AD,'Stato patrimoniale'!$AG:$AG,"",'Stato patrimoniale'!$C:$C,$A17,'Stato patrimoniale'!$B:$B,1)</f>
        <v>0</v>
      </c>
      <c r="E17" s="61">
        <f t="shared" si="0"/>
        <v>0</v>
      </c>
      <c r="F17" s="62" t="str">
        <f t="shared" si="1"/>
        <v/>
      </c>
      <c r="P17" t="str">
        <v>iShares Core S&amp;P 500 UCITS ETF USD (Dist)</v>
      </c>
      <c r="Q17" s="61">
        <f>SUMIFS('Stato patrimoniale'!W:W,'Stato patrimoniale'!$AG:$AG,"&gt;0",'Stato patrimoniale'!$C:$C,$P17,'Stato patrimoniale'!$B:$B,1)</f>
        <v>1022.7</v>
      </c>
      <c r="R17" s="61">
        <f>SUMIFS('Stato patrimoniale'!AP:AP,'Stato patrimoniale'!$AG:$AG,"&gt;0",'Stato patrimoniale'!$C:$C,$P17,'Stato patrimoniale'!$B:$B,1)</f>
        <v>1479.9528</v>
      </c>
      <c r="S17" s="61">
        <f t="shared" si="3"/>
        <v>457.25279999999998</v>
      </c>
      <c r="T17" s="62">
        <f t="shared" si="4"/>
        <v>0.44710354942798469</v>
      </c>
    </row>
    <row r="18" spans="1:20" x14ac:dyDescent="0.25">
      <c r="A18" t="str">
        <v>Amundi MSCI Semiconductors ESG Screened UCITS ETF Acc</v>
      </c>
      <c r="B18" s="71">
        <f t="shared" ca="1" si="2"/>
        <v>0</v>
      </c>
      <c r="C18" s="61">
        <f>SUMIFS('Stato patrimoniale'!W:W,'Stato patrimoniale'!$AG:$AG,"",'Stato patrimoniale'!$C:$C,$A18,'Stato patrimoniale'!$B:$B,1)</f>
        <v>0</v>
      </c>
      <c r="D18" s="61">
        <f>SUMIFS('Stato patrimoniale'!AD:AD,'Stato patrimoniale'!$AG:$AG,"",'Stato patrimoniale'!$C:$C,$A18,'Stato patrimoniale'!$B:$B,1)</f>
        <v>0</v>
      </c>
      <c r="E18" s="61">
        <f t="shared" si="0"/>
        <v>0</v>
      </c>
      <c r="F18" s="62" t="str">
        <f t="shared" si="1"/>
        <v/>
      </c>
      <c r="P18" t="str">
        <v>Amundi MSCI Semiconductors ESG Screened UCITS ETF Acc</v>
      </c>
      <c r="Q18" s="61">
        <f>SUMIFS('Stato patrimoniale'!W:W,'Stato patrimoniale'!$AG:$AG,"&gt;0",'Stato patrimoniale'!$C:$C,$P18,'Stato patrimoniale'!$B:$B,1)</f>
        <v>568.20000000000005</v>
      </c>
      <c r="R18" s="61">
        <f>SUMIFS('Stato patrimoniale'!AP:AP,'Stato patrimoniale'!$AG:$AG,"&gt;0",'Stato patrimoniale'!$C:$C,$P18,'Stato patrimoniale'!$B:$B,1)</f>
        <v>1137.05</v>
      </c>
      <c r="S18" s="61">
        <f t="shared" si="3"/>
        <v>568.84999999999991</v>
      </c>
      <c r="T18" s="62">
        <f t="shared" si="4"/>
        <v>1.0011439633931711</v>
      </c>
    </row>
    <row r="19" spans="1:20" x14ac:dyDescent="0.25">
      <c r="A19" t="str">
        <v>Xtrackers Artif. Int. and Big Data UCITS ETF 1C</v>
      </c>
      <c r="B19" s="71">
        <f t="shared" ca="1" si="2"/>
        <v>0</v>
      </c>
      <c r="C19" s="61">
        <f>SUMIFS('Stato patrimoniale'!W:W,'Stato patrimoniale'!$AG:$AG,"",'Stato patrimoniale'!$C:$C,$A19,'Stato patrimoniale'!$B:$B,1)</f>
        <v>0</v>
      </c>
      <c r="D19" s="61">
        <f>SUMIFS('Stato patrimoniale'!AD:AD,'Stato patrimoniale'!$AG:$AG,"",'Stato patrimoniale'!$C:$C,$A19,'Stato patrimoniale'!$B:$B,1)</f>
        <v>0</v>
      </c>
      <c r="E19" s="61">
        <f t="shared" si="0"/>
        <v>0</v>
      </c>
      <c r="F19" s="62" t="str">
        <f t="shared" si="1"/>
        <v/>
      </c>
      <c r="P19" t="str">
        <v>Xtrackers Artif. Int. and Big Data UCITS ETF 1C</v>
      </c>
      <c r="Q19" s="61">
        <f>SUMIFS('Stato patrimoniale'!W:W,'Stato patrimoniale'!$AG:$AG,"&gt;0",'Stato patrimoniale'!$C:$C,$P19,'Stato patrimoniale'!$B:$B,1)</f>
        <v>524.95000000000005</v>
      </c>
      <c r="R19" s="61">
        <f>SUMIFS('Stato patrimoniale'!AP:AP,'Stato patrimoniale'!$AG:$AG,"&gt;0",'Stato patrimoniale'!$C:$C,$P19,'Stato patrimoniale'!$B:$B,1)</f>
        <v>1159.2499999999998</v>
      </c>
      <c r="S19" s="61">
        <f t="shared" si="3"/>
        <v>634.29999999999973</v>
      </c>
      <c r="T19" s="62">
        <f t="shared" si="4"/>
        <v>1.2083055529098004</v>
      </c>
    </row>
    <row r="20" spans="1:20" x14ac:dyDescent="0.25">
      <c r="A20" t="str">
        <v>iShares Core MSCI Europe UCITS ETF EUR (Acc)</v>
      </c>
      <c r="B20" s="71">
        <f t="shared" ca="1" si="2"/>
        <v>8.2930839800613599E-3</v>
      </c>
      <c r="C20" s="61">
        <f>SUMIFS('Stato patrimoniale'!W:W,'Stato patrimoniale'!$AG:$AG,"",'Stato patrimoniale'!$C:$C,$A20,'Stato patrimoniale'!$B:$B,1)</f>
        <v>972.45</v>
      </c>
      <c r="D20" s="61">
        <f ca="1">SUMIFS('Stato patrimoniale'!AD:AD,'Stato patrimoniale'!$AG:$AG,"",'Stato patrimoniale'!$C:$C,$A20,'Stato patrimoniale'!$B:$B,1)</f>
        <v>1422.9600026921166</v>
      </c>
      <c r="E20" s="61">
        <f t="shared" ca="1" si="0"/>
        <v>450.51000269211659</v>
      </c>
      <c r="F20" s="62">
        <f t="shared" ca="1" si="1"/>
        <v>0.46327317876715157</v>
      </c>
      <c r="P20" t="str">
        <v>iShares Core MSCI Europe UCITS ETF EUR (Acc)</v>
      </c>
      <c r="Q20" s="61">
        <f>SUMIFS('Stato patrimoniale'!W:W,'Stato patrimoniale'!$AG:$AG,"&gt;0",'Stato patrimoniale'!$C:$C,$P20,'Stato patrimoniale'!$B:$B,1)</f>
        <v>0</v>
      </c>
      <c r="R20" s="61">
        <f>SUMIFS('Stato patrimoniale'!AP:AP,'Stato patrimoniale'!$AG:$AG,"&gt;0",'Stato patrimoniale'!$C:$C,$P20,'Stato patrimoniale'!$B:$B,1)</f>
        <v>0</v>
      </c>
      <c r="S20" s="61">
        <f t="shared" si="3"/>
        <v>0</v>
      </c>
      <c r="T20" s="62" t="str">
        <f t="shared" si="4"/>
        <v/>
      </c>
    </row>
    <row r="21" spans="1:20" x14ac:dyDescent="0.25">
      <c r="A21" t="str">
        <v>Vanguard FTSE All-World UCITS ETF (USD) Acc</v>
      </c>
      <c r="B21" s="71">
        <f t="shared" ca="1" si="2"/>
        <v>0.30317056992157754</v>
      </c>
      <c r="C21" s="61">
        <f>SUMIFS('Stato patrimoniale'!W:W,'Stato patrimoniale'!$AG:$AG,"",'Stato patrimoniale'!$C:$C,$A21,'Stato patrimoniale'!$B:$B,1)</f>
        <v>39076.925864000004</v>
      </c>
      <c r="D21" s="61">
        <f ca="1">SUMIFS('Stato patrimoniale'!AD:AD,'Stato patrimoniale'!$AG:$AG,"",'Stato patrimoniale'!$C:$C,$A21,'Stato patrimoniale'!$B:$B,1)</f>
        <v>52019.200098415815</v>
      </c>
      <c r="E21" s="61">
        <f t="shared" ca="1" si="0"/>
        <v>12942.27423441581</v>
      </c>
      <c r="F21" s="62">
        <f t="shared" ca="1" si="1"/>
        <v>0.33119990757356393</v>
      </c>
      <c r="P21" t="str">
        <v>Vanguard FTSE All-World UCITS ETF (USD) Acc</v>
      </c>
      <c r="Q21" s="61">
        <f>SUMIFS('Stato patrimoniale'!W:W,'Stato patrimoniale'!$AG:$AG,"&gt;0",'Stato patrimoniale'!$C:$C,$P21,'Stato patrimoniale'!$B:$B,1)</f>
        <v>0</v>
      </c>
      <c r="R21" s="61">
        <f>SUMIFS('Stato patrimoniale'!AP:AP,'Stato patrimoniale'!$AG:$AG,"&gt;0",'Stato patrimoniale'!$C:$C,$P21,'Stato patrimoniale'!$B:$B,1)</f>
        <v>0</v>
      </c>
      <c r="S21" s="61">
        <f t="shared" si="3"/>
        <v>0</v>
      </c>
      <c r="T21" s="62" t="str">
        <f t="shared" si="4"/>
        <v/>
      </c>
    </row>
    <row r="22" spans="1:20" x14ac:dyDescent="0.25">
      <c r="A22" t="str">
        <v>BTP-VAL 13GN27SU CUM</v>
      </c>
      <c r="B22" s="71">
        <f t="shared" ca="1" si="2"/>
        <v>6.261512691791403E-2</v>
      </c>
      <c r="C22" s="61">
        <f>SUMIFS('Stato patrimoniale'!W:W,'Stato patrimoniale'!$AG:$AG,"",'Stato patrimoniale'!$C:$C,$A22,'Stato patrimoniale'!$B:$B,1)</f>
        <v>10000</v>
      </c>
      <c r="D22" s="61">
        <f>SUMIFS('Stato patrimoniale'!AD:AD,'Stato patrimoniale'!$AG:$AG,"",'Stato patrimoniale'!$C:$C,$A22,'Stato patrimoniale'!$B:$B,1)</f>
        <v>10743.750018919131</v>
      </c>
      <c r="E22" s="61">
        <f t="shared" si="0"/>
        <v>743.75001891913053</v>
      </c>
      <c r="F22" s="62">
        <f t="shared" si="1"/>
        <v>7.4375001891913053E-2</v>
      </c>
      <c r="P22" t="str">
        <v>BTP-VAL 13GN27SU CUM</v>
      </c>
      <c r="Q22" s="61">
        <f>SUMIFS('Stato patrimoniale'!W:W,'Stato patrimoniale'!$AG:$AG,"&gt;0",'Stato patrimoniale'!$C:$C,$P22,'Stato patrimoniale'!$B:$B,1)</f>
        <v>0</v>
      </c>
      <c r="R22" s="61">
        <f>SUMIFS('Stato patrimoniale'!AP:AP,'Stato patrimoniale'!$AG:$AG,"&gt;0",'Stato patrimoniale'!$C:$C,$P22,'Stato patrimoniale'!$B:$B,1)</f>
        <v>0</v>
      </c>
      <c r="S22" s="61">
        <f t="shared" si="3"/>
        <v>0</v>
      </c>
      <c r="T22" s="62" t="str">
        <f t="shared" si="4"/>
        <v/>
      </c>
    </row>
    <row r="23" spans="1:20" x14ac:dyDescent="0.25">
      <c r="A23" t="str">
        <v>USA-15FB26 6</v>
      </c>
      <c r="B23" s="71">
        <f t="shared" ca="1" si="2"/>
        <v>0</v>
      </c>
      <c r="C23" s="61">
        <f>SUMIFS('Stato patrimoniale'!W:W,'Stato patrimoniale'!$AG:$AG,"",'Stato patrimoniale'!$C:$C,$A23,'Stato patrimoniale'!$B:$B,1)</f>
        <v>0</v>
      </c>
      <c r="D23" s="61">
        <f>SUMIFS('Stato patrimoniale'!AD:AD,'Stato patrimoniale'!$AG:$AG,"",'Stato patrimoniale'!$C:$C,$A23,'Stato patrimoniale'!$B:$B,1)</f>
        <v>0</v>
      </c>
      <c r="E23" s="61">
        <f t="shared" si="0"/>
        <v>0</v>
      </c>
      <c r="F23" s="62" t="str">
        <f t="shared" si="1"/>
        <v/>
      </c>
      <c r="P23" t="str">
        <v>USA-15FB26 6</v>
      </c>
      <c r="Q23" s="61">
        <f>SUMIFS('Stato patrimoniale'!W:W,'Stato patrimoniale'!$AG:$AG,"&gt;0",'Stato patrimoniale'!$C:$C,$P23,'Stato patrimoniale'!$B:$B,1)</f>
        <v>4767.214840749999</v>
      </c>
      <c r="R23" s="61">
        <f>SUMIFS('Stato patrimoniale'!AP:AP,'Stato patrimoniale'!$AG:$AG,"&gt;0",'Stato patrimoniale'!$C:$C,$P23,'Stato patrimoniale'!$B:$B,1)</f>
        <v>4929.0532262500001</v>
      </c>
      <c r="S23" s="61">
        <f t="shared" si="3"/>
        <v>161.8383855000011</v>
      </c>
      <c r="T23" s="62">
        <f t="shared" si="4"/>
        <v>3.3948204749786354E-2</v>
      </c>
    </row>
    <row r="24" spans="1:20" x14ac:dyDescent="0.25">
      <c r="A24" t="str">
        <v>BTP-1OT53 4,5</v>
      </c>
      <c r="B24" s="71">
        <f t="shared" ca="1" si="2"/>
        <v>3.2582449694133181E-2</v>
      </c>
      <c r="C24" s="61">
        <f>SUMIFS('Stato patrimoniale'!W:W,'Stato patrimoniale'!$AG:$AG,"",'Stato patrimoniale'!$C:$C,$A24,'Stato patrimoniale'!$B:$B,1)</f>
        <v>5104.8836499999998</v>
      </c>
      <c r="D24" s="61">
        <f>SUMIFS('Stato patrimoniale'!AD:AD,'Stato patrimoniale'!$AG:$AG,"",'Stato patrimoniale'!$C:$C,$A24,'Stato patrimoniale'!$B:$B,1)</f>
        <v>5590.6250094595653</v>
      </c>
      <c r="E24" s="61">
        <f t="shared" si="0"/>
        <v>485.7413594595655</v>
      </c>
      <c r="F24" s="62">
        <f t="shared" si="1"/>
        <v>9.5152288036881222E-2</v>
      </c>
      <c r="P24" t="str">
        <v>BTP-1OT53 4,5</v>
      </c>
      <c r="Q24" s="61">
        <f>SUMIFS('Stato patrimoniale'!W:W,'Stato patrimoniale'!$AG:$AG,"&gt;0",'Stato patrimoniale'!$C:$C,$P24,'Stato patrimoniale'!$B:$B,1)</f>
        <v>0</v>
      </c>
      <c r="R24" s="61">
        <f>SUMIFS('Stato patrimoniale'!AP:AP,'Stato patrimoniale'!$AG:$AG,"&gt;0",'Stato patrimoniale'!$C:$C,$P24,'Stato patrimoniale'!$B:$B,1)</f>
        <v>0</v>
      </c>
      <c r="S24" s="61">
        <f t="shared" si="3"/>
        <v>0</v>
      </c>
      <c r="T24" s="62" t="str">
        <f t="shared" si="4"/>
        <v/>
      </c>
    </row>
    <row r="25" spans="1:20" x14ac:dyDescent="0.25">
      <c r="A25" t="str">
        <v>BTP-29ST25 3,60</v>
      </c>
      <c r="B25" s="71">
        <f t="shared" ca="1" si="2"/>
        <v>0</v>
      </c>
      <c r="C25" s="61">
        <f>SUMIFS('Stato patrimoniale'!W:W,'Stato patrimoniale'!$AG:$AG,"",'Stato patrimoniale'!$C:$C,$A25,'Stato patrimoniale'!$B:$B,1)</f>
        <v>0</v>
      </c>
      <c r="D25" s="61">
        <f>SUMIFS('Stato patrimoniale'!AD:AD,'Stato patrimoniale'!$AG:$AG,"",'Stato patrimoniale'!$C:$C,$A25,'Stato patrimoniale'!$B:$B,1)</f>
        <v>0</v>
      </c>
      <c r="E25" s="61">
        <f t="shared" si="0"/>
        <v>0</v>
      </c>
      <c r="F25" s="62" t="str">
        <f t="shared" si="1"/>
        <v/>
      </c>
      <c r="P25" t="str">
        <v>BTP-29ST25 3,60</v>
      </c>
      <c r="Q25" s="61">
        <f>SUMIFS('Stato patrimoniale'!W:W,'Stato patrimoniale'!$AG:$AG,"&gt;0",'Stato patrimoniale'!$C:$C,$P25,'Stato patrimoniale'!$B:$B,1)</f>
        <v>5021.3890500000007</v>
      </c>
      <c r="R25" s="61">
        <f>SUMIFS('Stato patrimoniale'!AP:AP,'Stato patrimoniale'!$AG:$AG,"&gt;0",'Stato patrimoniale'!$C:$C,$P25,'Stato patrimoniale'!$B:$B,1)</f>
        <v>5342.3874999999998</v>
      </c>
      <c r="S25" s="61">
        <f t="shared" si="3"/>
        <v>320.99844999999914</v>
      </c>
      <c r="T25" s="62">
        <f t="shared" si="4"/>
        <v>6.3926225752214738E-2</v>
      </c>
    </row>
    <row r="26" spans="1:20" x14ac:dyDescent="0.25">
      <c r="A26" t="str">
        <v>USA-15MG25 2,125</v>
      </c>
      <c r="B26" s="71">
        <f t="shared" ca="1" si="2"/>
        <v>0</v>
      </c>
      <c r="C26" s="61">
        <f>SUMIFS('Stato patrimoniale'!W:W,'Stato patrimoniale'!$AG:$AG,"",'Stato patrimoniale'!$C:$C,$A26,'Stato patrimoniale'!$B:$B,1)</f>
        <v>0</v>
      </c>
      <c r="D26" s="61">
        <f>SUMIFS('Stato patrimoniale'!AD:AD,'Stato patrimoniale'!$AG:$AG,"",'Stato patrimoniale'!$C:$C,$A26,'Stato patrimoniale'!$B:$B,1)</f>
        <v>0</v>
      </c>
      <c r="E26" s="61">
        <f t="shared" si="0"/>
        <v>0</v>
      </c>
      <c r="F26" s="62" t="str">
        <f t="shared" si="1"/>
        <v/>
      </c>
      <c r="P26" t="str">
        <v>USA-15MG25 2,125</v>
      </c>
      <c r="Q26" s="61">
        <f>SUMIFS('Stato patrimoniale'!W:W,'Stato patrimoniale'!$AG:$AG,"&gt;0",'Stato patrimoniale'!$C:$C,$P26,'Stato patrimoniale'!$B:$B,1)</f>
        <v>4444.5674319999998</v>
      </c>
      <c r="R26" s="61">
        <f>SUMIFS('Stato patrimoniale'!AP:AP,'Stato patrimoniale'!$AG:$AG,"&gt;0",'Stato patrimoniale'!$C:$C,$P26,'Stato patrimoniale'!$B:$B,1)</f>
        <v>4641.3001866338846</v>
      </c>
      <c r="S26" s="61">
        <f t="shared" si="3"/>
        <v>196.73275463388472</v>
      </c>
      <c r="T26" s="62">
        <f t="shared" si="4"/>
        <v>4.4263644920189103E-2</v>
      </c>
    </row>
    <row r="27" spans="1:20" x14ac:dyDescent="0.25">
      <c r="A27" t="str">
        <v>BTP-VAL 10OT28SU CUM</v>
      </c>
      <c r="B27" s="71">
        <f t="shared" ca="1" si="2"/>
        <v>3.1492421963057557E-2</v>
      </c>
      <c r="C27" s="61">
        <f>SUMIFS('Stato patrimoniale'!W:W,'Stato patrimoniale'!$AG:$AG,"",'Stato patrimoniale'!$C:$C,$A27,'Stato patrimoniale'!$B:$B,1)</f>
        <v>5000</v>
      </c>
      <c r="D27" s="61">
        <f>SUMIFS('Stato patrimoniale'!AD:AD,'Stato patrimoniale'!$AG:$AG,"",'Stato patrimoniale'!$C:$C,$A27,'Stato patrimoniale'!$B:$B,1)</f>
        <v>5403.5937594595653</v>
      </c>
      <c r="E27" s="61">
        <f t="shared" si="0"/>
        <v>403.59375945956526</v>
      </c>
      <c r="F27" s="62">
        <f t="shared" si="1"/>
        <v>8.0718751891913049E-2</v>
      </c>
      <c r="P27" t="str">
        <v>BTP-VAL 10OT28SU CUM</v>
      </c>
      <c r="Q27" s="61">
        <f>SUMIFS('Stato patrimoniale'!W:W,'Stato patrimoniale'!$AG:$AG,"&gt;0",'Stato patrimoniale'!$C:$C,$P27,'Stato patrimoniale'!$B:$B,1)</f>
        <v>0</v>
      </c>
      <c r="R27" s="61">
        <f>SUMIFS('Stato patrimoniale'!AP:AP,'Stato patrimoniale'!$AG:$AG,"&gt;0",'Stato patrimoniale'!$C:$C,$P27,'Stato patrimoniale'!$B:$B,1)</f>
        <v>0</v>
      </c>
      <c r="S27" s="61">
        <f t="shared" si="3"/>
        <v>0</v>
      </c>
      <c r="T27" s="62" t="str">
        <f t="shared" si="4"/>
        <v/>
      </c>
    </row>
    <row r="28" spans="1:20" x14ac:dyDescent="0.25">
      <c r="A28" t="str">
        <v>SPAIN-30LG33 2,35</v>
      </c>
      <c r="B28" s="71">
        <f t="shared" ca="1" si="2"/>
        <v>1.2135459968089252E-2</v>
      </c>
      <c r="C28" s="61">
        <f>SUMIFS('Stato patrimoniale'!W:W,'Stato patrimoniale'!$AG:$AG,"",'Stato patrimoniale'!$C:$C,$A28,'Stato patrimoniale'!$B:$B,1)</f>
        <v>1899.8000000000002</v>
      </c>
      <c r="D28" s="61">
        <f>SUMIFS('Stato patrimoniale'!AD:AD,'Stato patrimoniale'!$AG:$AG,"",'Stato patrimoniale'!$C:$C,$A28,'Stato patrimoniale'!$B:$B,1)</f>
        <v>2082.2500037838263</v>
      </c>
      <c r="E28" s="61">
        <f t="shared" si="0"/>
        <v>182.45000378382611</v>
      </c>
      <c r="F28" s="62">
        <f t="shared" si="1"/>
        <v>9.6036426878527259E-2</v>
      </c>
      <c r="P28" t="str">
        <v>SPAIN-30LG33 2,35</v>
      </c>
      <c r="Q28" s="61">
        <f>SUMIFS('Stato patrimoniale'!W:W,'Stato patrimoniale'!$AG:$AG,"&gt;0",'Stato patrimoniale'!$C:$C,$P28,'Stato patrimoniale'!$B:$B,1)</f>
        <v>0</v>
      </c>
      <c r="R28" s="61">
        <f>SUMIFS('Stato patrimoniale'!AP:AP,'Stato patrimoniale'!$AG:$AG,"&gt;0",'Stato patrimoniale'!$C:$C,$P28,'Stato patrimoniale'!$B:$B,1)</f>
        <v>0</v>
      </c>
      <c r="S28" s="61">
        <f t="shared" si="3"/>
        <v>0</v>
      </c>
      <c r="T28" s="62" t="str">
        <f t="shared" si="4"/>
        <v/>
      </c>
    </row>
    <row r="29" spans="1:20" x14ac:dyDescent="0.25">
      <c r="A29" t="str">
        <v>BTP-VAL 5MZ30SU CUM</v>
      </c>
      <c r="B29" s="71">
        <f t="shared" ca="1" si="2"/>
        <v>1.231904358595462E-2</v>
      </c>
      <c r="C29" s="61">
        <f>SUMIFS('Stato patrimoniale'!W:W,'Stato patrimoniale'!$AG:$AG,"",'Stato patrimoniale'!$C:$C,$A29,'Stato patrimoniale'!$B:$B,1)</f>
        <v>2000</v>
      </c>
      <c r="D29" s="61">
        <f>SUMIFS('Stato patrimoniale'!AD:AD,'Stato patrimoniale'!$AG:$AG,"",'Stato patrimoniale'!$C:$C,$A29,'Stato patrimoniale'!$B:$B,1)</f>
        <v>2113.7500037838263</v>
      </c>
      <c r="E29" s="61">
        <f t="shared" si="0"/>
        <v>113.75000378382629</v>
      </c>
      <c r="F29" s="62">
        <f t="shared" si="1"/>
        <v>5.6875001891913142E-2</v>
      </c>
      <c r="P29" t="str">
        <v>BTP-VAL 5MZ30SU CUM</v>
      </c>
      <c r="Q29" s="61">
        <f>SUMIFS('Stato patrimoniale'!W:W,'Stato patrimoniale'!$AG:$AG,"&gt;0",'Stato patrimoniale'!$C:$C,$P29,'Stato patrimoniale'!$B:$B,1)</f>
        <v>0</v>
      </c>
      <c r="R29" s="61">
        <f>SUMIFS('Stato patrimoniale'!AP:AP,'Stato patrimoniale'!$AG:$AG,"&gt;0",'Stato patrimoniale'!$C:$C,$P29,'Stato patrimoniale'!$B:$B,1)</f>
        <v>0</v>
      </c>
      <c r="S29" s="61">
        <f t="shared" si="3"/>
        <v>0</v>
      </c>
      <c r="T29" s="62" t="str">
        <f t="shared" si="4"/>
        <v/>
      </c>
    </row>
    <row r="30" spans="1:20" x14ac:dyDescent="0.25">
      <c r="A30" t="str">
        <v>Invesco Physical Gold ETC</v>
      </c>
      <c r="B30" s="71">
        <f t="shared" ca="1" si="2"/>
        <v>3.2597456932927982E-2</v>
      </c>
      <c r="C30" s="61">
        <f>SUMIFS('Stato patrimoniale'!W:W,'Stato patrimoniale'!$AG:$AG,"",'Stato patrimoniale'!$C:$C,$A30,'Stato patrimoniale'!$B:$B,1)</f>
        <v>3503.11</v>
      </c>
      <c r="D30" s="61">
        <f ca="1">SUMIFS('Stato patrimoniale'!AD:AD,'Stato patrimoniale'!$AG:$AG,"",'Stato patrimoniale'!$C:$C,$A30,'Stato patrimoniale'!$B:$B,1)</f>
        <v>5593.2000105818479</v>
      </c>
      <c r="E30" s="61">
        <f t="shared" ca="1" si="0"/>
        <v>2090.0900105818478</v>
      </c>
      <c r="F30" s="62">
        <f t="shared" ca="1" si="1"/>
        <v>0.59663841860000044</v>
      </c>
      <c r="P30" t="str">
        <v>Invesco Physical Gold ETC</v>
      </c>
      <c r="Q30" s="61">
        <f>SUMIFS('Stato patrimoniale'!W:W,'Stato patrimoniale'!$AG:$AG,"&gt;0",'Stato patrimoniale'!$C:$C,$P30,'Stato patrimoniale'!$B:$B,1)</f>
        <v>0</v>
      </c>
      <c r="R30" s="61">
        <f>SUMIFS('Stato patrimoniale'!AP:AP,'Stato patrimoniale'!$AG:$AG,"&gt;0",'Stato patrimoniale'!$C:$C,$P30,'Stato patrimoniale'!$B:$B,1)</f>
        <v>0</v>
      </c>
      <c r="S30" s="61">
        <f t="shared" si="3"/>
        <v>0</v>
      </c>
      <c r="T30" s="62" t="str">
        <f t="shared" si="4"/>
        <v/>
      </c>
    </row>
    <row r="31" spans="1:20" x14ac:dyDescent="0.25">
      <c r="A31" t="str">
        <v>BTP-28GE26 3,2</v>
      </c>
      <c r="B31" s="71">
        <f t="shared" ca="1" si="2"/>
        <v>0</v>
      </c>
      <c r="C31" s="61">
        <f>SUMIFS('Stato patrimoniale'!W:W,'Stato patrimoniale'!$AG:$AG,"",'Stato patrimoniale'!$C:$C,$A31,'Stato patrimoniale'!$B:$B,1)</f>
        <v>0</v>
      </c>
      <c r="D31" s="61">
        <f>SUMIFS('Stato patrimoniale'!AD:AD,'Stato patrimoniale'!$AG:$AG,"",'Stato patrimoniale'!$C:$C,$A31,'Stato patrimoniale'!$B:$B,1)</f>
        <v>0</v>
      </c>
      <c r="E31" s="61">
        <f t="shared" si="0"/>
        <v>0</v>
      </c>
      <c r="F31" s="62" t="str">
        <f t="shared" si="1"/>
        <v/>
      </c>
      <c r="P31" t="str">
        <v>BTP-28GE26 3,2</v>
      </c>
      <c r="Q31" s="61">
        <f>SUMIFS('Stato patrimoniale'!W:W,'Stato patrimoniale'!$AG:$AG,"&gt;0",'Stato patrimoniale'!$C:$C,$P31,'Stato patrimoniale'!$B:$B,1)</f>
        <v>2010.3999999999999</v>
      </c>
      <c r="R31" s="61">
        <f>SUMIFS('Stato patrimoniale'!AP:AP,'Stato patrimoniale'!$AG:$AG,"&gt;0",'Stato patrimoniale'!$C:$C,$P31,'Stato patrimoniale'!$B:$B,1)</f>
        <v>2106.5587500000001</v>
      </c>
      <c r="S31" s="61">
        <f t="shared" si="3"/>
        <v>96.158750000000282</v>
      </c>
      <c r="T31" s="62">
        <f t="shared" si="4"/>
        <v>4.7830655590927321E-2</v>
      </c>
    </row>
    <row r="32" spans="1:20" x14ac:dyDescent="0.25">
      <c r="A32" t="str">
        <v>Xtrackers II EUR Overnight Rate Swap UCITS ETF 1C</v>
      </c>
      <c r="B32" s="71">
        <f t="shared" ca="1" si="2"/>
        <v>0.1026189950970553</v>
      </c>
      <c r="C32" s="61">
        <f>SUMIFS('Stato patrimoniale'!W:W,'Stato patrimoniale'!$AG:$AG,"",'Stato patrimoniale'!$C:$C,$A32,'Stato patrimoniale'!$B:$B,1)</f>
        <v>17217.618599999998</v>
      </c>
      <c r="D32" s="61">
        <f ca="1">SUMIFS('Stato patrimoniale'!AD:AD,'Stato patrimoniale'!$AG:$AG,"",'Stato patrimoniale'!$C:$C,$A32,'Stato patrimoniale'!$B:$B,1)</f>
        <v>17607.771233312375</v>
      </c>
      <c r="E32" s="61">
        <f t="shared" ca="1" si="0"/>
        <v>390.15263331237657</v>
      </c>
      <c r="F32" s="62">
        <f t="shared" ca="1" si="1"/>
        <v>2.2660081070234452E-2</v>
      </c>
      <c r="P32" t="str">
        <v>Xtrackers II EUR Overnight Rate Swap UCITS ETF 1C</v>
      </c>
      <c r="Q32" s="61">
        <f>SUMIFS('Stato patrimoniale'!W:W,'Stato patrimoniale'!$AG:$AG,"&gt;0",'Stato patrimoniale'!$C:$C,$P32,'Stato patrimoniale'!$B:$B,1)</f>
        <v>0</v>
      </c>
      <c r="R32" s="61">
        <f>SUMIFS('Stato patrimoniale'!AP:AP,'Stato patrimoniale'!$AG:$AG,"&gt;0",'Stato patrimoniale'!$C:$C,$P32,'Stato patrimoniale'!$B:$B,1)</f>
        <v>0</v>
      </c>
      <c r="S32" s="61">
        <f t="shared" si="3"/>
        <v>0</v>
      </c>
      <c r="T32" s="62" t="str">
        <f t="shared" si="4"/>
        <v/>
      </c>
    </row>
    <row r="33" spans="1:20" x14ac:dyDescent="0.25">
      <c r="A33" t="str">
        <v>iShares iBonds Dec 2028 Term EUR Corp UCITS ETF (Acc)</v>
      </c>
      <c r="B33" s="71">
        <f t="shared" ca="1" si="2"/>
        <v>2.9714319919282934E-2</v>
      </c>
      <c r="C33" s="61">
        <f>SUMIFS('Stato patrimoniale'!W:W,'Stato patrimoniale'!$AG:$AG,"",'Stato patrimoniale'!$C:$C,$A33,'Stato patrimoniale'!$B:$B,1)</f>
        <v>4866.6920000000009</v>
      </c>
      <c r="D33" s="61">
        <f ca="1">SUMIFS('Stato patrimoniale'!AD:AD,'Stato patrimoniale'!$AG:$AG,"",'Stato patrimoniale'!$C:$C,$A33,'Stato patrimoniale'!$B:$B,1)</f>
        <v>5098.5000096459189</v>
      </c>
      <c r="E33" s="61">
        <f t="shared" ca="1" si="0"/>
        <v>231.80800964591799</v>
      </c>
      <c r="F33" s="62">
        <f t="shared" ca="1" si="1"/>
        <v>4.7631534858979765E-2</v>
      </c>
      <c r="P33" t="str">
        <v>iShares iBonds Dec 2028 Term EUR Corp UCITS ETF (Acc)</v>
      </c>
      <c r="Q33" s="61">
        <f>SUMIFS('Stato patrimoniale'!W:W,'Stato patrimoniale'!$AG:$AG,"&gt;0",'Stato patrimoniale'!$C:$C,$P33,'Stato patrimoniale'!$B:$B,1)</f>
        <v>0</v>
      </c>
      <c r="R33" s="61">
        <f>SUMIFS('Stato patrimoniale'!AP:AP,'Stato patrimoniale'!$AG:$AG,"&gt;0",'Stato patrimoniale'!$C:$C,$P33,'Stato patrimoniale'!$B:$B,1)</f>
        <v>0</v>
      </c>
      <c r="S33" s="61">
        <f t="shared" si="3"/>
        <v>0</v>
      </c>
      <c r="T33" s="62" t="str">
        <f t="shared" si="4"/>
        <v/>
      </c>
    </row>
    <row r="34" spans="1:20" x14ac:dyDescent="0.25">
      <c r="A34" t="str">
        <v>Amundi IS Fix. Mat. 2028 Euro Gov Bd Br. UCITS ETF Dis</v>
      </c>
      <c r="B34" s="71">
        <f t="shared" ca="1" si="2"/>
        <v>3.0991537376169446E-2</v>
      </c>
      <c r="C34" s="61">
        <f>SUMIFS('Stato patrimoniale'!W:W,'Stato patrimoniale'!$AG:$AG,"",'Stato patrimoniale'!$C:$C,$A34,'Stato patrimoniale'!$B:$B,1)</f>
        <v>5173.9600000000009</v>
      </c>
      <c r="D34" s="61">
        <f ca="1">SUMIFS('Stato patrimoniale'!AD:AD,'Stato patrimoniale'!$AG:$AG,"",'Stato patrimoniale'!$C:$C,$A34,'Stato patrimoniale'!$B:$B,1)</f>
        <v>5317.6500098459892</v>
      </c>
      <c r="E34" s="61">
        <f t="shared" ca="1" si="0"/>
        <v>143.69000984598824</v>
      </c>
      <c r="F34" s="62">
        <f t="shared" ca="1" si="1"/>
        <v>2.777176666344313E-2</v>
      </c>
      <c r="P34" t="str">
        <v>Amundi IS Fix. Mat. 2028 Euro Gov Bd Br. UCITS ETF Dis</v>
      </c>
      <c r="Q34" s="61">
        <f>SUMIFS('Stato patrimoniale'!W:W,'Stato patrimoniale'!$AG:$AG,"&gt;0",'Stato patrimoniale'!$C:$C,$P34,'Stato patrimoniale'!$B:$B,1)</f>
        <v>0</v>
      </c>
      <c r="R34" s="61">
        <f>SUMIFS('Stato patrimoniale'!AP:AP,'Stato patrimoniale'!$AG:$AG,"&gt;0",'Stato patrimoniale'!$C:$C,$P34,'Stato patrimoniale'!$B:$B,1)</f>
        <v>0</v>
      </c>
      <c r="S34" s="61">
        <f t="shared" si="3"/>
        <v>0</v>
      </c>
      <c r="T34" s="62" t="str">
        <f t="shared" si="4"/>
        <v/>
      </c>
    </row>
    <row r="35" spans="1:20" x14ac:dyDescent="0.25">
      <c r="A35" t="str">
        <v>BTP-PIU 25FB33 CUM</v>
      </c>
      <c r="B35" s="71">
        <f t="shared" ca="1" si="2"/>
        <v>1.2019445320688221E-2</v>
      </c>
      <c r="C35" s="61">
        <f>SUMIFS('Stato patrimoniale'!W:W,'Stato patrimoniale'!$AG:$AG,"",'Stato patrimoniale'!$C:$C,$A35,'Stato patrimoniale'!$B:$B,1)</f>
        <v>2000</v>
      </c>
      <c r="D35" s="61">
        <f>SUMIFS('Stato patrimoniale'!AD:AD,'Stato patrimoniale'!$AG:$AG,"",'Stato patrimoniale'!$C:$C,$A35,'Stato patrimoniale'!$B:$B,1)</f>
        <v>2062.3437537838263</v>
      </c>
      <c r="E35" s="61">
        <f t="shared" si="0"/>
        <v>62.343753783826287</v>
      </c>
      <c r="F35" s="62">
        <f t="shared" si="1"/>
        <v>3.1171876891913145E-2</v>
      </c>
      <c r="P35" t="str">
        <v>BTP-PIU 25FB33 CUM</v>
      </c>
      <c r="Q35" s="61">
        <f>SUMIFS('Stato patrimoniale'!W:W,'Stato patrimoniale'!$AG:$AG,"&gt;0",'Stato patrimoniale'!$C:$C,$P35,'Stato patrimoniale'!$B:$B,1)</f>
        <v>0</v>
      </c>
      <c r="R35" s="61">
        <f>SUMIFS('Stato patrimoniale'!AP:AP,'Stato patrimoniale'!$AG:$AG,"&gt;0",'Stato patrimoniale'!$C:$C,$P35,'Stato patrimoniale'!$B:$B,1)</f>
        <v>0</v>
      </c>
      <c r="S35" s="61">
        <f t="shared" si="3"/>
        <v>0</v>
      </c>
      <c r="T35" s="62" t="str">
        <f t="shared" si="4"/>
        <v/>
      </c>
    </row>
    <row r="36" spans="1:20" x14ac:dyDescent="0.25">
      <c r="A36" t="str">
        <v>FRANCE-25FB28 0,75</v>
      </c>
      <c r="B36" s="71">
        <f t="shared" ca="1" si="2"/>
        <v>1.1732595917773581E-2</v>
      </c>
      <c r="C36" s="61">
        <f>SUMIFS('Stato patrimoniale'!W:W,'Stato patrimoniale'!$AG:$AG,"",'Stato patrimoniale'!$C:$C,$A36,'Stato patrimoniale'!$B:$B,1)</f>
        <v>1918.3999999999999</v>
      </c>
      <c r="D36" s="61">
        <f>SUMIFS('Stato patrimoniale'!AD:AD,'Stato patrimoniale'!$AG:$AG,"",'Stato patrimoniale'!$C:$C,$A36,'Stato patrimoniale'!$B:$B,1)</f>
        <v>2013.1250037838261</v>
      </c>
      <c r="E36" s="61">
        <f t="shared" si="0"/>
        <v>94.725003783826196</v>
      </c>
      <c r="F36" s="62">
        <f t="shared" si="1"/>
        <v>4.9377087043278881E-2</v>
      </c>
      <c r="P36" t="str">
        <v>FRANCE-25FB28 0,75</v>
      </c>
      <c r="Q36" s="61">
        <f>SUMIFS('Stato patrimoniale'!W:W,'Stato patrimoniale'!$AG:$AG,"&gt;0",'Stato patrimoniale'!$C:$C,$P36,'Stato patrimoniale'!$B:$B,1)</f>
        <v>0</v>
      </c>
      <c r="R36" s="61">
        <f>SUMIFS('Stato patrimoniale'!AP:AP,'Stato patrimoniale'!$AG:$AG,"&gt;0",'Stato patrimoniale'!$C:$C,$P36,'Stato patrimoniale'!$B:$B,1)</f>
        <v>0</v>
      </c>
      <c r="S36" s="61">
        <f t="shared" si="3"/>
        <v>0</v>
      </c>
      <c r="T36" s="62" t="str">
        <f t="shared" si="4"/>
        <v/>
      </c>
    </row>
    <row r="37" spans="1:20" x14ac:dyDescent="0.25">
      <c r="A37" t="str">
        <v>iShares iBonds Dec 2029 Term EUR Corp UCITS ETF (Acc)</v>
      </c>
      <c r="B37" s="71">
        <f t="shared" ca="1" si="2"/>
        <v>2.7020990882715697E-2</v>
      </c>
      <c r="C37" s="61">
        <f>SUMIFS('Stato patrimoniale'!W:W,'Stato patrimoniale'!$AG:$AG,"",'Stato patrimoniale'!$C:$C,$A37,'Stato patrimoniale'!$B:$B,1)</f>
        <v>4586.46</v>
      </c>
      <c r="D37" s="61">
        <f ca="1">SUMIFS('Stato patrimoniale'!AD:AD,'Stato patrimoniale'!$AG:$AG,"",'Stato patrimoniale'!$C:$C,$A37,'Stato patrimoniale'!$B:$B,1)</f>
        <v>4636.3680087716057</v>
      </c>
      <c r="E37" s="61">
        <f t="shared" ca="1" si="0"/>
        <v>49.908008771605637</v>
      </c>
      <c r="F37" s="62">
        <f t="shared" ca="1" si="1"/>
        <v>1.0881596868086854E-2</v>
      </c>
      <c r="P37" t="str">
        <v>iShares iBonds Dec 2029 Term EUR Corp UCITS ETF (Acc)</v>
      </c>
      <c r="Q37" s="61">
        <f>SUMIFS('Stato patrimoniale'!W:W,'Stato patrimoniale'!$AG:$AG,"&gt;0",'Stato patrimoniale'!$C:$C,$P37,'Stato patrimoniale'!$B:$B,1)</f>
        <v>0</v>
      </c>
      <c r="R37" s="61">
        <f>SUMIFS('Stato patrimoniale'!AP:AP,'Stato patrimoniale'!$AG:$AG,"&gt;0",'Stato patrimoniale'!$C:$C,$P37,'Stato patrimoniale'!$B:$B,1)</f>
        <v>0</v>
      </c>
      <c r="S37" s="61">
        <f t="shared" si="3"/>
        <v>0</v>
      </c>
      <c r="T37" s="62" t="str">
        <f t="shared" si="4"/>
        <v/>
      </c>
    </row>
    <row r="38" spans="1:20" x14ac:dyDescent="0.25">
      <c r="A38" t="str">
        <v>BTP ITALIA-4GN32 CUM</v>
      </c>
      <c r="B38" s="71">
        <f t="shared" ca="1" si="2"/>
        <v>1.1774208204489732E-2</v>
      </c>
      <c r="C38" s="61">
        <f>SUMIFS('Stato patrimoniale'!W:W,'Stato patrimoniale'!$AG:$AG,"",'Stato patrimoniale'!$C:$C,$A38,'Stato patrimoniale'!$B:$B,1)</f>
        <v>2000</v>
      </c>
      <c r="D38" s="61">
        <f>SUMIFS('Stato patrimoniale'!AD:AD,'Stato patrimoniale'!$AG:$AG,"",'Stato patrimoniale'!$C:$C,$A38,'Stato patrimoniale'!$B:$B,1)</f>
        <v>2020.2650037838262</v>
      </c>
      <c r="E38" s="61">
        <f t="shared" si="0"/>
        <v>20.26500378382616</v>
      </c>
      <c r="F38" s="62">
        <f t="shared" si="1"/>
        <v>1.013250189191308E-2</v>
      </c>
      <c r="P38" t="str">
        <v>BTP ITALIA-4GN32 CUM</v>
      </c>
      <c r="Q38" s="61">
        <f>SUMIFS('Stato patrimoniale'!W:W,'Stato patrimoniale'!$AG:$AG,"&gt;0",'Stato patrimoniale'!$C:$C,$P38,'Stato patrimoniale'!$B:$B,1)</f>
        <v>0</v>
      </c>
      <c r="R38" s="61">
        <f>SUMIFS('Stato patrimoniale'!AP:AP,'Stato patrimoniale'!$AG:$AG,"&gt;0",'Stato patrimoniale'!$C:$C,$P38,'Stato patrimoniale'!$B:$B,1)</f>
        <v>0</v>
      </c>
      <c r="S38" s="61">
        <f t="shared" si="3"/>
        <v>0</v>
      </c>
      <c r="T38" s="62" t="str">
        <f t="shared" si="4"/>
        <v/>
      </c>
    </row>
    <row r="39" spans="1:20" x14ac:dyDescent="0.25">
      <c r="A39" t="str">
        <v>iShares iBonds Dec 2030 Term EUR Corp UCITS ETF EUR (Acc)</v>
      </c>
      <c r="B39" s="71">
        <f t="shared" ca="1" si="2"/>
        <v>2.7104425266154832E-2</v>
      </c>
      <c r="C39" s="61">
        <f>SUMIFS('Stato patrimoniale'!W:W,'Stato patrimoniale'!$AG:$AG,"",'Stato patrimoniale'!$C:$C,$A39,'Stato patrimoniale'!$B:$B,1)</f>
        <v>4603.79</v>
      </c>
      <c r="D39" s="61">
        <f ca="1">SUMIFS('Stato patrimoniale'!AD:AD,'Stato patrimoniale'!$AG:$AG,"",'Stato patrimoniale'!$C:$C,$A39,'Stato patrimoniale'!$B:$B,1)</f>
        <v>4650.6840087986893</v>
      </c>
      <c r="E39" s="61">
        <f t="shared" ca="1" si="0"/>
        <v>46.894008798689356</v>
      </c>
      <c r="F39" s="62">
        <f t="shared" ca="1" si="1"/>
        <v>1.0185957395686892E-2</v>
      </c>
      <c r="P39" t="str">
        <v>iShares iBonds Dec 2030 Term EUR Corp UCITS ETF EUR (Acc)</v>
      </c>
      <c r="Q39" s="61">
        <f>SUMIFS('Stato patrimoniale'!W:W,'Stato patrimoniale'!$AG:$AG,"&gt;0",'Stato patrimoniale'!$C:$C,$P39,'Stato patrimoniale'!$B:$B,1)</f>
        <v>0</v>
      </c>
      <c r="R39" s="61">
        <f>SUMIFS('Stato patrimoniale'!AP:AP,'Stato patrimoniale'!$AG:$AG,"&gt;0",'Stato patrimoniale'!$C:$C,$P39,'Stato patrimoniale'!$B:$B,1)</f>
        <v>0</v>
      </c>
      <c r="S39" s="61">
        <f t="shared" si="3"/>
        <v>0</v>
      </c>
      <c r="T39" s="62" t="str">
        <f t="shared" si="4"/>
        <v/>
      </c>
    </row>
    <row r="40" spans="1:20" x14ac:dyDescent="0.25">
      <c r="A40" t="str">
        <v>iShares iBonds Dec 2031 Term EUR Corp UCITS ETF EUR (Acc)</v>
      </c>
      <c r="B40" s="71">
        <f t="shared" ca="1" si="2"/>
        <v>2.0605600149733755E-2</v>
      </c>
      <c r="C40" s="61">
        <f>SUMIFS('Stato patrimoniale'!W:W,'Stato patrimoniale'!$AG:$AG,"",'Stato patrimoniale'!$C:$C,$A40,'Stato patrimoniale'!$B:$B,1)</f>
        <v>3498.0000000000005</v>
      </c>
      <c r="D40" s="61">
        <f ca="1">SUMIFS('Stato patrimoniale'!AD:AD,'Stato patrimoniale'!$AG:$AG,"",'Stato patrimoniale'!$C:$C,$A40,'Stato patrimoniale'!$B:$B,1)</f>
        <v>3535.590006689029</v>
      </c>
      <c r="E40" s="61">
        <f t="shared" ca="1" si="0"/>
        <v>37.590006689028542</v>
      </c>
      <c r="F40" s="62">
        <f t="shared" ca="1" si="1"/>
        <v>1.074614256404475E-2</v>
      </c>
      <c r="P40" t="str">
        <v>iShares iBonds Dec 2031 Term EUR Corp UCITS ETF EUR (Acc)</v>
      </c>
      <c r="Q40" s="61">
        <f>SUMIFS('Stato patrimoniale'!W:W,'Stato patrimoniale'!$AG:$AG,"&gt;0",'Stato patrimoniale'!$C:$C,$P40,'Stato patrimoniale'!$B:$B,1)</f>
        <v>0</v>
      </c>
      <c r="R40" s="61">
        <f>SUMIFS('Stato patrimoniale'!AP:AP,'Stato patrimoniale'!$AG:$AG,"&gt;0",'Stato patrimoniale'!$C:$C,$P40,'Stato patrimoniale'!$B:$B,1)</f>
        <v>0</v>
      </c>
      <c r="S40" s="61">
        <f t="shared" si="3"/>
        <v>0</v>
      </c>
      <c r="T40" s="62" t="str">
        <f t="shared" si="4"/>
        <v/>
      </c>
    </row>
    <row r="41" spans="1:20" x14ac:dyDescent="0.25">
      <c r="A41" t="str">
        <v>BTP VAL-28OT32 CUM</v>
      </c>
      <c r="B41" s="71">
        <f t="shared" ca="1" si="2"/>
        <v>3.5366072736364003E-2</v>
      </c>
      <c r="C41" s="61">
        <f>SUMIFS('Stato patrimoniale'!W:W,'Stato patrimoniale'!$AG:$AG,"",'Stato patrimoniale'!$C:$C,$A41,'Stato patrimoniale'!$B:$B,1)</f>
        <v>6000</v>
      </c>
      <c r="D41" s="61">
        <f>SUMIFS('Stato patrimoniale'!AD:AD,'Stato patrimoniale'!$AG:$AG,"",'Stato patrimoniale'!$C:$C,$A41,'Stato patrimoniale'!$B:$B,1)</f>
        <v>6068.2500113514789</v>
      </c>
      <c r="E41" s="61">
        <f t="shared" si="0"/>
        <v>68.250011351478861</v>
      </c>
      <c r="F41" s="62">
        <f t="shared" si="1"/>
        <v>1.1375001891913143E-2</v>
      </c>
      <c r="P41" t="str">
        <v>BTP VAL-28OT32 CUM</v>
      </c>
      <c r="Q41" s="61">
        <f>SUMIFS('Stato patrimoniale'!W:W,'Stato patrimoniale'!$AG:$AG,"&gt;0",'Stato patrimoniale'!$C:$C,$P41,'Stato patrimoniale'!$B:$B,1)</f>
        <v>0</v>
      </c>
      <c r="R41" s="61">
        <f>SUMIFS('Stato patrimoniale'!AP:AP,'Stato patrimoniale'!$AG:$AG,"&gt;0",'Stato patrimoniale'!$C:$C,$P41,'Stato patrimoniale'!$B:$B,1)</f>
        <v>0</v>
      </c>
      <c r="S41" s="61">
        <f t="shared" si="3"/>
        <v>0</v>
      </c>
      <c r="T41" s="62" t="str">
        <f t="shared" si="4"/>
        <v/>
      </c>
    </row>
    <row r="42" spans="1:20" x14ac:dyDescent="0.25">
      <c r="A42" t="str">
        <v>Xtrackers II Eurozone Gov. Bond 1-3 UCITS ETF 1C</v>
      </c>
      <c r="B42" s="71">
        <f t="shared" ca="1" si="2"/>
        <v>5.8799793095545241E-2</v>
      </c>
      <c r="C42" s="61">
        <f>SUMIFS('Stato patrimoniale'!W:W,'Stato patrimoniale'!$AG:$AG,"",'Stato patrimoniale'!$C:$C,$A42,'Stato patrimoniale'!$B:$B,1)</f>
        <v>10068.388199999999</v>
      </c>
      <c r="D42" s="61">
        <f ca="1">SUMIFS('Stato patrimoniale'!AD:AD,'Stato patrimoniale'!$AG:$AG,"",'Stato patrimoniale'!$C:$C,$A42,'Stato patrimoniale'!$B:$B,1)</f>
        <v>10089.100019087698</v>
      </c>
      <c r="E42" s="61">
        <f t="shared" ca="1" si="0"/>
        <v>20.711819087699041</v>
      </c>
      <c r="F42" s="62">
        <f t="shared" ca="1" si="1"/>
        <v>2.0571136786024045E-3</v>
      </c>
      <c r="P42" t="str">
        <v>Xtrackers II Eurozone Gov. Bond 1-3 UCITS ETF 1C</v>
      </c>
      <c r="Q42" s="61">
        <f>SUMIFS('Stato patrimoniale'!W:W,'Stato patrimoniale'!$AG:$AG,"&gt;0",'Stato patrimoniale'!$C:$C,$P42,'Stato patrimoniale'!$B:$B,1)</f>
        <v>0</v>
      </c>
      <c r="R42" s="61">
        <f>SUMIFS('Stato patrimoniale'!AP:AP,'Stato patrimoniale'!$AG:$AG,"&gt;0",'Stato patrimoniale'!$C:$C,$P42,'Stato patrimoniale'!$B:$B,1)</f>
        <v>0</v>
      </c>
      <c r="S42" s="61">
        <f t="shared" si="3"/>
        <v>0</v>
      </c>
      <c r="T42" s="62" t="str">
        <f t="shared" si="4"/>
        <v/>
      </c>
    </row>
    <row r="43" spans="1:20" x14ac:dyDescent="0.25">
      <c r="A43" t="str">
        <v>Amundi Euro Government Bond 3-5Y UCITS ETF Acc</v>
      </c>
      <c r="B43" s="71">
        <f t="shared" ca="1" si="2"/>
        <v>5.8590099807186748E-2</v>
      </c>
      <c r="C43" s="61">
        <f>SUMIFS('Stato patrimoniale'!W:W,'Stato patrimoniale'!$AG:$AG,"",'Stato patrimoniale'!$C:$C,$A43,'Stato patrimoniale'!$B:$B,1)</f>
        <v>10068.960000000001</v>
      </c>
      <c r="D43" s="61">
        <f ca="1">SUMIFS('Stato patrimoniale'!AD:AD,'Stato patrimoniale'!$AG:$AG,"",'Stato patrimoniale'!$C:$C,$A43,'Stato patrimoniale'!$B:$B,1)</f>
        <v>10053.120019019629</v>
      </c>
      <c r="E43" s="61">
        <f t="shared" ca="1" si="0"/>
        <v>-15.839980980372275</v>
      </c>
      <c r="F43" s="62">
        <f t="shared" ca="1" si="1"/>
        <v>-1.573149657995689E-3</v>
      </c>
      <c r="P43" t="str">
        <v>Amundi Euro Government Bond 3-5Y UCITS ETF Acc</v>
      </c>
      <c r="Q43" s="61">
        <f>SUMIFS('Stato patrimoniale'!W:W,'Stato patrimoniale'!$AG:$AG,"&gt;0",'Stato patrimoniale'!$C:$C,$P43,'Stato patrimoniale'!$B:$B,1)</f>
        <v>0</v>
      </c>
      <c r="R43" s="61">
        <f>SUMIFS('Stato patrimoniale'!AP:AP,'Stato patrimoniale'!$AG:$AG,"&gt;0",'Stato patrimoniale'!$C:$C,$P43,'Stato patrimoniale'!$B:$B,1)</f>
        <v>0</v>
      </c>
      <c r="S43" s="61">
        <f t="shared" si="3"/>
        <v>0</v>
      </c>
      <c r="T43" s="62" t="str">
        <f t="shared" si="4"/>
        <v/>
      </c>
    </row>
    <row r="44" spans="1:20" x14ac:dyDescent="0.25">
      <c r="A44" t="str">
        <v>Xtrackers MSCI World ex USA UCITS ETF 1C</v>
      </c>
      <c r="B44" s="71">
        <f t="shared" ca="1" si="2"/>
        <v>6.5808257992227517E-2</v>
      </c>
      <c r="C44" s="61">
        <f>SUMIFS('Stato patrimoniale'!W:W,'Stato patrimoniale'!$AG:$AG,"",'Stato patrimoniale'!$C:$C,$A44,'Stato patrimoniale'!$B:$B,1)</f>
        <v>10014.140000000001</v>
      </c>
      <c r="D44" s="61">
        <f ca="1">SUMIFS('Stato patrimoniale'!AD:AD,'Stato patrimoniale'!$AG:$AG,"",'Stato patrimoniale'!$C:$C,$A44,'Stato patrimoniale'!$B:$B,1)</f>
        <v>11291.640021362802</v>
      </c>
      <c r="E44" s="61">
        <f t="shared" ca="1" si="0"/>
        <v>1277.5000213628009</v>
      </c>
      <c r="F44" s="62">
        <f t="shared" ca="1" si="1"/>
        <v>0.12756961869544473</v>
      </c>
      <c r="P44" t="str">
        <v>Xtrackers MSCI World ex USA UCITS ETF 1C</v>
      </c>
      <c r="Q44" s="61">
        <f>SUMIFS('Stato patrimoniale'!W:W,'Stato patrimoniale'!$AG:$AG,"&gt;0",'Stato patrimoniale'!$C:$C,$P44,'Stato patrimoniale'!$B:$B,1)</f>
        <v>0</v>
      </c>
      <c r="R44" s="61">
        <f>SUMIFS('Stato patrimoniale'!AP:AP,'Stato patrimoniale'!$AG:$AG,"&gt;0",'Stato patrimoniale'!$C:$C,$P44,'Stato patrimoniale'!$B:$B,1)</f>
        <v>0</v>
      </c>
      <c r="S44" s="61">
        <f t="shared" si="3"/>
        <v>0</v>
      </c>
      <c r="T44" s="62" t="str">
        <f t="shared" si="4"/>
        <v/>
      </c>
    </row>
    <row r="45" spans="1:20" x14ac:dyDescent="0.25">
      <c r="A45" t="str">
        <v>iShares Core MSCI EMU UCITS ETF EUR (Acc)</v>
      </c>
      <c r="B45" s="71">
        <f t="shared" ca="1" si="2"/>
        <v>6.3853762684170104E-2</v>
      </c>
      <c r="C45" s="61">
        <f>SUMIFS('Stato patrimoniale'!W:W,'Stato patrimoniale'!$AG:$AG,"",'Stato patrimoniale'!$C:$C,$A45,'Stato patrimoniale'!$B:$B,1)</f>
        <v>9828.5</v>
      </c>
      <c r="D45" s="61">
        <f ca="1">SUMIFS('Stato patrimoniale'!AD:AD,'Stato patrimoniale'!$AG:$AG,"",'Stato patrimoniale'!$C:$C,$A45,'Stato patrimoniale'!$B:$B,1)</f>
        <v>10956.280020728331</v>
      </c>
      <c r="E45" s="61">
        <f t="shared" ca="1" si="0"/>
        <v>1127.7800207283308</v>
      </c>
      <c r="F45" s="62">
        <f t="shared" ca="1" si="1"/>
        <v>0.11474589415763654</v>
      </c>
      <c r="P45" t="str">
        <v>iShares Core MSCI EMU UCITS ETF EUR (Acc)</v>
      </c>
      <c r="Q45" s="61">
        <f>SUMIFS('Stato patrimoniale'!W:W,'Stato patrimoniale'!$AG:$AG,"&gt;0",'Stato patrimoniale'!$C:$C,$P45,'Stato patrimoniale'!$B:$B,1)</f>
        <v>0</v>
      </c>
      <c r="R45" s="61">
        <f>SUMIFS('Stato patrimoniale'!AP:AP,'Stato patrimoniale'!$AG:$AG,"&gt;0",'Stato patrimoniale'!$C:$C,$P45,'Stato patrimoniale'!$B:$B,1)</f>
        <v>0</v>
      </c>
      <c r="S45" s="61">
        <f t="shared" si="3"/>
        <v>0</v>
      </c>
      <c r="T45" s="62" t="str">
        <f t="shared" si="4"/>
        <v/>
      </c>
    </row>
    <row r="46" spans="1:20" x14ac:dyDescent="0.25">
      <c r="A46" t="str">
        <v>BTP-10MZ32 VAL CUM</v>
      </c>
      <c r="B46" s="71">
        <f t="shared" ca="1" si="2"/>
        <v>3.4968308230989037E-2</v>
      </c>
      <c r="C46" s="61">
        <f>SUMIFS('Stato patrimoniale'!W:W,'Stato patrimoniale'!$AG:$AG,"",'Stato patrimoniale'!$C:$C,$A46,'Stato patrimoniale'!$B:$B,1)</f>
        <v>6000</v>
      </c>
      <c r="D46" s="61">
        <f>SUMIFS('Stato patrimoniale'!AD:AD,'Stato patrimoniale'!$AG:$AG,"",'Stato patrimoniale'!$C:$C,$A46,'Stato patrimoniale'!$B:$B,1)</f>
        <v>6000.0000113514789</v>
      </c>
      <c r="E46" s="61">
        <f t="shared" si="0"/>
        <v>1.1351478860888164E-5</v>
      </c>
      <c r="F46" s="62">
        <f t="shared" si="1"/>
        <v>1.8919131434813607E-9</v>
      </c>
      <c r="P46" t="str">
        <v>BTP-10MZ32 VAL CUM</v>
      </c>
      <c r="Q46" s="61">
        <f>SUMIFS('Stato patrimoniale'!W:W,'Stato patrimoniale'!$AG:$AG,"&gt;0",'Stato patrimoniale'!$C:$C,$P46,'Stato patrimoniale'!$B:$B,1)</f>
        <v>0</v>
      </c>
      <c r="R46" s="61">
        <f>SUMIFS('Stato patrimoniale'!AP:AP,'Stato patrimoniale'!$AG:$AG,"&gt;0",'Stato patrimoniale'!$C:$C,$P46,'Stato patrimoniale'!$B:$B,1)</f>
        <v>0</v>
      </c>
      <c r="S46" s="61">
        <f t="shared" si="3"/>
        <v>0</v>
      </c>
      <c r="T46" s="62" t="str">
        <f t="shared" si="4"/>
        <v/>
      </c>
    </row>
    <row r="47" spans="1:20" x14ac:dyDescent="0.25">
      <c r="A47">
        <v>0</v>
      </c>
      <c r="P47">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D71A-2A0A-40D0-A398-44DA46C39EA6}">
  <sheetPr codeName="Sheet4"/>
  <dimension ref="A1:S8"/>
  <sheetViews>
    <sheetView workbookViewId="0">
      <selection activeCell="O14" sqref="O14"/>
    </sheetView>
  </sheetViews>
  <sheetFormatPr defaultRowHeight="15" x14ac:dyDescent="0.25"/>
  <cols>
    <col min="1" max="1" width="4.85546875" bestFit="1" customWidth="1"/>
    <col min="2" max="2" width="9" style="61" bestFit="1" customWidth="1"/>
    <col min="3" max="3" width="9" bestFit="1" customWidth="1"/>
    <col min="4" max="4" width="9.7109375" bestFit="1" customWidth="1"/>
    <col min="5" max="5" width="11.7109375" bestFit="1" customWidth="1"/>
    <col min="15" max="15" width="4.8554687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1</v>
      </c>
      <c r="B2" s="63" t="s">
        <v>281</v>
      </c>
      <c r="C2" s="9" t="s">
        <v>282</v>
      </c>
      <c r="D2" s="9" t="s">
        <v>14</v>
      </c>
      <c r="E2" s="9" t="s">
        <v>20</v>
      </c>
      <c r="O2" s="9" t="s">
        <v>1</v>
      </c>
      <c r="P2" s="63" t="s">
        <v>281</v>
      </c>
      <c r="Q2" s="9" t="s">
        <v>284</v>
      </c>
      <c r="R2" s="9" t="s">
        <v>285</v>
      </c>
      <c r="S2" s="9" t="s">
        <v>283</v>
      </c>
    </row>
    <row r="3" spans="1:19" x14ac:dyDescent="0.25">
      <c r="A3" t="s">
        <v>27</v>
      </c>
      <c r="B3" s="61">
        <f>SUMIFS('Stato patrimoniale'!W:W,'Stato patrimoniale'!$AG:$AG,"",'Stato patrimoniale'!$D:$D,$A3,'Stato patrimoniale'!$B:$B,1)</f>
        <v>124479.93466399999</v>
      </c>
      <c r="C3" s="61">
        <f ca="1">SUMIFS('Stato patrimoniale'!AD:AD,'Stato patrimoniale'!$AG:$AG,"",'Stato patrimoniale'!$D:$D,$A3,'Stato patrimoniale'!$B:$B,1)</f>
        <v>143874.4434719834</v>
      </c>
      <c r="D3" s="61">
        <f t="shared" ref="D3" ca="1" si="0">C3-B3</f>
        <v>19394.508807983409</v>
      </c>
      <c r="E3" s="62">
        <f t="shared" ref="E3" ca="1" si="1">IF(B3=0,"",D3/B3)</f>
        <v>0.15580429777966751</v>
      </c>
      <c r="O3" t="s">
        <v>27</v>
      </c>
      <c r="P3" s="61">
        <f>SUMIFS('Stato patrimoniale'!W:W,'Stato patrimoniale'!$AG:$AG,"&gt;0",'Stato patrimoniale'!$D:$D,$O3,'Stato patrimoniale'!$B:$B,1)</f>
        <v>3116.6000000000004</v>
      </c>
      <c r="Q3" s="61">
        <f>SUMIFS('Stato patrimoniale'!AP:AP,'Stato patrimoniale'!$AG:$AG,"&gt;0",'Stato patrimoniale'!$D:$D,$O3,'Stato patrimoniale'!$B:$B,1)</f>
        <v>4806.2737168000003</v>
      </c>
      <c r="R3" s="61">
        <f>Q3-P3</f>
        <v>1689.6737168</v>
      </c>
      <c r="S3" s="62">
        <f>IF(P3=0,"",R3/P3)</f>
        <v>0.54215289636141939</v>
      </c>
    </row>
    <row r="4" spans="1:19" x14ac:dyDescent="0.25">
      <c r="A4" t="s">
        <v>8</v>
      </c>
      <c r="B4" s="61">
        <f>SUMIFS('Stato patrimoniale'!W:W,'Stato patrimoniale'!$AG:$AG,"",'Stato patrimoniale'!$D:$D,$A4,'Stato patrimoniale'!$B:$B,1)</f>
        <v>25799.602479680001</v>
      </c>
      <c r="C4" s="61">
        <f ca="1">SUMIFS('Stato patrimoniale'!AD:AD,'Stato patrimoniale'!$AG:$AG,"",'Stato patrimoniale'!$D:$D,$A4,'Stato patrimoniale'!$B:$B,1)</f>
        <v>38069.931476095735</v>
      </c>
      <c r="D4" s="61">
        <f t="shared" ref="D4:D8" ca="1" si="2">C4-B4</f>
        <v>12270.328996415734</v>
      </c>
      <c r="E4" s="62">
        <f t="shared" ref="E4:E8" ca="1" si="3">IF(B4=0,"",D4/B4)</f>
        <v>0.47560147510334533</v>
      </c>
      <c r="O4" t="s">
        <v>8</v>
      </c>
      <c r="P4" s="61">
        <f>SUMIFS('Stato patrimoniale'!W:W,'Stato patrimoniale'!$AG:$AG,"&gt;0",'Stato patrimoniale'!$D:$D,$O4,'Stato patrimoniale'!$B:$B,1)</f>
        <v>5164.8048562469803</v>
      </c>
      <c r="Q4" s="61">
        <f>SUMIFS('Stato patrimoniale'!AP:AP,'Stato patrimoniale'!$AG:$AG,"&gt;0",'Stato patrimoniale'!$D:$D,$O4,'Stato patrimoniale'!$B:$B,1)</f>
        <v>10549.955413760001</v>
      </c>
      <c r="R4" s="61">
        <f t="shared" ref="R4:R8" si="4">Q4-P4</f>
        <v>5385.1505575130204</v>
      </c>
      <c r="S4" s="62">
        <f t="shared" ref="S4:S8" si="5">IF(P4=0,"",R4/P4)</f>
        <v>1.0426629286873299</v>
      </c>
    </row>
    <row r="5" spans="1:19" x14ac:dyDescent="0.25">
      <c r="A5" t="s">
        <v>29</v>
      </c>
      <c r="B5" s="61">
        <f>SUMIFS('Stato patrimoniale'!W:W,'Stato patrimoniale'!$AG:$AG,"",'Stato patrimoniale'!$D:$D,$A5,'Stato patrimoniale'!$B:$B,1)</f>
        <v>41923.08365</v>
      </c>
      <c r="C5" s="61">
        <f>SUMIFS('Stato patrimoniale'!AD:AD,'Stato patrimoniale'!$AG:$AG,"",'Stato patrimoniale'!$D:$D,$A5,'Stato patrimoniale'!$B:$B,1)</f>
        <v>44097.95257946034</v>
      </c>
      <c r="D5" s="61">
        <f t="shared" si="2"/>
        <v>2174.8689294603391</v>
      </c>
      <c r="E5" s="62">
        <f t="shared" si="3"/>
        <v>5.1877599167501579E-2</v>
      </c>
      <c r="O5" t="s">
        <v>29</v>
      </c>
      <c r="P5" s="61">
        <f>SUMIFS('Stato patrimoniale'!W:W,'Stato patrimoniale'!$AG:$AG,"&gt;0",'Stato patrimoniale'!$D:$D,$O5,'Stato patrimoniale'!$B:$B,1)</f>
        <v>16243.57132275</v>
      </c>
      <c r="Q5" s="61">
        <f>SUMIFS('Stato patrimoniale'!AP:AP,'Stato patrimoniale'!$AG:$AG,"&gt;0",'Stato patrimoniale'!$D:$D,$O5,'Stato patrimoniale'!$B:$B,1)</f>
        <v>17019.299662883885</v>
      </c>
      <c r="R5" s="61">
        <f t="shared" si="4"/>
        <v>775.72834013388456</v>
      </c>
      <c r="S5" s="62">
        <f t="shared" si="5"/>
        <v>4.7756021426608015E-2</v>
      </c>
    </row>
    <row r="6" spans="1:19" x14ac:dyDescent="0.25">
      <c r="A6" t="s">
        <v>332</v>
      </c>
      <c r="B6" s="61">
        <f>SUMIFS('Stato patrimoniale'!W:W,'Stato patrimoniale'!$AG:$AG,"",'Stato patrimoniale'!$D:$D,$A6,'Stato patrimoniale'!$B:$B,1)</f>
        <v>0</v>
      </c>
      <c r="C6" s="61">
        <f>SUMIFS('Stato patrimoniale'!AD:AD,'Stato patrimoniale'!$AG:$AG,"",'Stato patrimoniale'!$D:$D,$A6,'Stato patrimoniale'!$B:$B,1)</f>
        <v>0</v>
      </c>
      <c r="D6" s="61">
        <f t="shared" si="2"/>
        <v>0</v>
      </c>
      <c r="E6" s="62" t="str">
        <f t="shared" si="3"/>
        <v/>
      </c>
      <c r="O6" t="s">
        <v>332</v>
      </c>
      <c r="P6" s="61">
        <f>SUMIFS('Stato patrimoniale'!W:W,'Stato patrimoniale'!$AG:$AG,"&gt;0",'Stato patrimoniale'!$D:$D,$O6,'Stato patrimoniale'!$B:$B,1)</f>
        <v>0</v>
      </c>
      <c r="Q6" s="61">
        <f>SUMIFS('Stato patrimoniale'!AP:AP,'Stato patrimoniale'!$AG:$AG,"&gt;0",'Stato patrimoniale'!$D:$D,$O6,'Stato patrimoniale'!$B:$B,1)</f>
        <v>0</v>
      </c>
      <c r="R6" s="61">
        <f t="shared" si="4"/>
        <v>0</v>
      </c>
      <c r="S6" s="62" t="str">
        <f t="shared" si="5"/>
        <v/>
      </c>
    </row>
    <row r="7" spans="1:19" x14ac:dyDescent="0.25">
      <c r="A7" t="s">
        <v>335</v>
      </c>
      <c r="B7" s="61">
        <f>SUMIFS('Stato patrimoniale'!W:W,'Stato patrimoniale'!$AG:$AG,"",'Stato patrimoniale'!$D:$D,$A7,'Stato patrimoniale'!$B:$B,1)</f>
        <v>0</v>
      </c>
      <c r="C7" s="61">
        <f>SUMIFS('Stato patrimoniale'!AD:AD,'Stato patrimoniale'!$AG:$AG,"",'Stato patrimoniale'!$D:$D,$A7,'Stato patrimoniale'!$B:$B,1)</f>
        <v>0</v>
      </c>
      <c r="D7" s="61">
        <f t="shared" si="2"/>
        <v>0</v>
      </c>
      <c r="E7" s="62" t="str">
        <f t="shared" si="3"/>
        <v/>
      </c>
      <c r="O7" t="s">
        <v>335</v>
      </c>
      <c r="P7" s="61">
        <f>SUMIFS('Stato patrimoniale'!W:W,'Stato patrimoniale'!$AG:$AG,"&gt;0",'Stato patrimoniale'!$D:$D,$O7,'Stato patrimoniale'!$B:$B,1)</f>
        <v>0</v>
      </c>
      <c r="Q7" s="61">
        <f>SUMIFS('Stato patrimoniale'!AP:AP,'Stato patrimoniale'!$AG:$AG,"&gt;0",'Stato patrimoniale'!$D:$D,$O7,'Stato patrimoniale'!$B:$B,1)</f>
        <v>0</v>
      </c>
      <c r="R7" s="61">
        <f t="shared" si="4"/>
        <v>0</v>
      </c>
      <c r="S7" s="62" t="str">
        <f t="shared" si="5"/>
        <v/>
      </c>
    </row>
    <row r="8" spans="1:19" x14ac:dyDescent="0.25">
      <c r="A8" t="s">
        <v>334</v>
      </c>
      <c r="B8" s="61">
        <f>SUMIFS('Stato patrimoniale'!W:W,'Stato patrimoniale'!$AG:$AG,"",'Stato patrimoniale'!$D:$D,$A8,'Stato patrimoniale'!$B:$B,1)</f>
        <v>0</v>
      </c>
      <c r="C8" s="61">
        <f>SUMIFS('Stato patrimoniale'!AD:AD,'Stato patrimoniale'!$AG:$AG,"",'Stato patrimoniale'!$D:$D,$A8,'Stato patrimoniale'!$B:$B,1)</f>
        <v>0</v>
      </c>
      <c r="D8" s="61">
        <f t="shared" si="2"/>
        <v>0</v>
      </c>
      <c r="E8" s="62" t="str">
        <f t="shared" si="3"/>
        <v/>
      </c>
      <c r="O8" t="s">
        <v>334</v>
      </c>
      <c r="P8" s="61">
        <f>SUMIFS('Stato patrimoniale'!W:W,'Stato patrimoniale'!$AG:$AG,"&gt;0",'Stato patrimoniale'!$D:$D,$O8,'Stato patrimoniale'!$B:$B,1)</f>
        <v>0</v>
      </c>
      <c r="Q8" s="61">
        <f>SUMIFS('Stato patrimoniale'!AP:AP,'Stato patrimoniale'!$AG:$AG,"&gt;0",'Stato patrimoniale'!$D:$D,$O8,'Stato patrimoniale'!$B:$B,1)</f>
        <v>0</v>
      </c>
      <c r="R8" s="61">
        <f t="shared" si="4"/>
        <v>0</v>
      </c>
      <c r="S8" s="62" t="str">
        <f t="shared" si="5"/>
        <v/>
      </c>
    </row>
  </sheetData>
  <sortState xmlns:xlrd2="http://schemas.microsoft.com/office/spreadsheetml/2017/richdata2" ref="A3:E8">
    <sortCondition descending="1" ref="C3:C8"/>
  </sortState>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8B1E5-150F-457A-B78E-E752E0F8DFCE}">
  <sheetPr codeName="Sheet5"/>
  <dimension ref="A1:S6"/>
  <sheetViews>
    <sheetView workbookViewId="0">
      <selection activeCell="Q18" sqref="Q18"/>
    </sheetView>
  </sheetViews>
  <sheetFormatPr defaultRowHeight="15" x14ac:dyDescent="0.25"/>
  <cols>
    <col min="1" max="1" width="10" customWidth="1"/>
    <col min="2" max="2" width="9" style="61" bestFit="1" customWidth="1"/>
    <col min="3" max="3" width="9" bestFit="1" customWidth="1"/>
    <col min="4" max="4" width="8.7109375" bestFit="1" customWidth="1"/>
    <col min="5" max="5" width="11.7109375"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24</v>
      </c>
      <c r="B2" s="63" t="s">
        <v>281</v>
      </c>
      <c r="C2" s="9" t="s">
        <v>282</v>
      </c>
      <c r="D2" s="9" t="s">
        <v>14</v>
      </c>
      <c r="E2" s="9" t="s">
        <v>20</v>
      </c>
      <c r="O2" s="9" t="s">
        <v>24</v>
      </c>
      <c r="P2" s="63" t="s">
        <v>281</v>
      </c>
      <c r="Q2" s="9" t="s">
        <v>284</v>
      </c>
      <c r="R2" s="9" t="s">
        <v>285</v>
      </c>
      <c r="S2" s="9" t="s">
        <v>283</v>
      </c>
    </row>
    <row r="3" spans="1:19" x14ac:dyDescent="0.25">
      <c r="A3" t="s">
        <v>273</v>
      </c>
      <c r="B3" s="61">
        <f>SUMIFS('Stato patrimoniale'!W:W,'Stato patrimoniale'!$AG:$AG,"",'Stato patrimoniale'!$E:$E,$A3,'Stato patrimoniale'!$B:$B,1)</f>
        <v>86692.558343680008</v>
      </c>
      <c r="C3" s="61">
        <f ca="1">SUMIFS('Stato patrimoniale'!AD:AD,'Stato patrimoniale'!$AG:$AG,"",'Stato patrimoniale'!$E:$E,$A3,'Stato patrimoniale'!$B:$B,1)</f>
        <v>115362.39162232632</v>
      </c>
      <c r="D3" s="61">
        <f ca="1">C3-B3</f>
        <v>28669.833278646314</v>
      </c>
      <c r="E3" s="62">
        <f ca="1">IF(B3=0,"",D3/B3)</f>
        <v>0.33070696985304021</v>
      </c>
      <c r="O3" t="s">
        <v>273</v>
      </c>
      <c r="P3" s="61">
        <f>SUMIFS('Stato patrimoniale'!W:W,'Stato patrimoniale'!$AG:$AG,"&gt;0",'Stato patrimoniale'!$E:$E,$O3,'Stato patrimoniale'!$B:$B,1)</f>
        <v>8281.4048562469798</v>
      </c>
      <c r="Q3" s="61">
        <f>SUMIFS('Stato patrimoniale'!AP:AP,'Stato patrimoniale'!$AG:$AG,"&gt;0",'Stato patrimoniale'!$E:$E,$O3,'Stato patrimoniale'!$B:$B,1)</f>
        <v>15356.229130559999</v>
      </c>
      <c r="R3" s="61">
        <f>Q3-P3</f>
        <v>7074.8242743130195</v>
      </c>
      <c r="S3" s="62">
        <f>IF(P3=0,"",R3/P3)</f>
        <v>0.85430242780320176</v>
      </c>
    </row>
    <row r="4" spans="1:19" x14ac:dyDescent="0.25">
      <c r="A4" t="s">
        <v>274</v>
      </c>
      <c r="B4" s="61">
        <f>SUMIFS('Stato patrimoniale'!W:W,'Stato patrimoniale'!$AG:$AG,"",'Stato patrimoniale'!$E:$E,$A4,'Stato patrimoniale'!$B:$B,1)</f>
        <v>102006.95245000001</v>
      </c>
      <c r="C4" s="61">
        <f ca="1">SUMIFS('Stato patrimoniale'!AD:AD,'Stato patrimoniale'!$AG:$AG,"",'Stato patrimoniale'!$E:$E,$A4,'Stato patrimoniale'!$B:$B,1)</f>
        <v>105086.73589463127</v>
      </c>
      <c r="D4" s="61">
        <f t="shared" ref="D4:D6" ca="1" si="0">C4-B4</f>
        <v>3079.7834446312627</v>
      </c>
      <c r="E4" s="62">
        <f t="shared" ref="E4:E6" ca="1" si="1">IF(B4=0,"",D4/B4)</f>
        <v>3.0191897421314073E-2</v>
      </c>
      <c r="O4" t="s">
        <v>274</v>
      </c>
      <c r="P4" s="61">
        <f>SUMIFS('Stato patrimoniale'!W:W,'Stato patrimoniale'!$AG:$AG,"&gt;0",'Stato patrimoniale'!$E:$E,$O4,'Stato patrimoniale'!$B:$B,1)</f>
        <v>16243.57132275</v>
      </c>
      <c r="Q4" s="61">
        <f>SUMIFS('Stato patrimoniale'!AP:AP,'Stato patrimoniale'!$AG:$AG,"&gt;0",'Stato patrimoniale'!$E:$E,$O4,'Stato patrimoniale'!$B:$B,1)</f>
        <v>17019.299662883885</v>
      </c>
      <c r="R4" s="61">
        <f t="shared" ref="R4:R5" si="2">Q4-P4</f>
        <v>775.72834013388456</v>
      </c>
      <c r="S4" s="62">
        <f t="shared" ref="S4:S6" si="3">IF(P4=0,"",R4/P4)</f>
        <v>4.7756021426608015E-2</v>
      </c>
    </row>
    <row r="5" spans="1:19" x14ac:dyDescent="0.25">
      <c r="A5" t="s">
        <v>522</v>
      </c>
      <c r="B5" s="61">
        <f>SUMIFS('Stato patrimoniale'!W:W,'Stato patrimoniale'!$AG:$AG,"",'Stato patrimoniale'!$E:$E,$A5,'Stato patrimoniale'!$B:$B,1)</f>
        <v>3503.11</v>
      </c>
      <c r="C5" s="61">
        <f ca="1">SUMIFS('Stato patrimoniale'!AD:AD,'Stato patrimoniale'!$AG:$AG,"",'Stato patrimoniale'!$E:$E,$A5,'Stato patrimoniale'!$B:$B,1)</f>
        <v>5593.2000105818479</v>
      </c>
      <c r="D5" s="61">
        <f t="shared" ca="1" si="0"/>
        <v>2090.0900105818478</v>
      </c>
      <c r="E5" s="62">
        <f t="shared" ca="1" si="1"/>
        <v>0.59663841860000044</v>
      </c>
      <c r="O5" t="s">
        <v>522</v>
      </c>
      <c r="P5" s="61">
        <f>SUMIFS('Stato patrimoniale'!W:W,'Stato patrimoniale'!$AG:$AG,"&gt;0",'Stato patrimoniale'!$E:$E,$O5,'Stato patrimoniale'!$B:$B,1)</f>
        <v>0</v>
      </c>
      <c r="Q5" s="61">
        <f>SUMIFS('Stato patrimoniale'!AP:AP,'Stato patrimoniale'!$AG:$AG,"&gt;0",'Stato patrimoniale'!$E:$E,$O5,'Stato patrimoniale'!$B:$B,1)</f>
        <v>0</v>
      </c>
      <c r="R5" s="61">
        <f t="shared" si="2"/>
        <v>0</v>
      </c>
      <c r="S5" s="62" t="str">
        <f t="shared" si="3"/>
        <v/>
      </c>
    </row>
    <row r="6" spans="1:19" x14ac:dyDescent="0.25">
      <c r="A6" t="s">
        <v>333</v>
      </c>
      <c r="B6" s="61">
        <f>SUMIFS('Stato patrimoniale'!W:W,'Stato patrimoniale'!$AG:$AG,"",'Stato patrimoniale'!$E:$E,$A6,'Stato patrimoniale'!$B:$B,1)</f>
        <v>0</v>
      </c>
      <c r="C6" s="61">
        <f>SUMIFS('Stato patrimoniale'!AD:AD,'Stato patrimoniale'!$AG:$AG,"",'Stato patrimoniale'!$E:$E,$A6,'Stato patrimoniale'!$B:$B,1)</f>
        <v>0</v>
      </c>
      <c r="D6" s="61">
        <f t="shared" si="0"/>
        <v>0</v>
      </c>
      <c r="E6" s="62" t="str">
        <f t="shared" si="1"/>
        <v/>
      </c>
      <c r="O6" t="s">
        <v>333</v>
      </c>
      <c r="P6" s="61">
        <f>SUMIFS('Stato patrimoniale'!W:W,'Stato patrimoniale'!$AG:$AG,"&gt;0",'Stato patrimoniale'!$E:$E,$O6,'Stato patrimoniale'!$B:$B,1)</f>
        <v>0</v>
      </c>
      <c r="Q6" s="61">
        <f>SUMIFS('Stato patrimoniale'!AP:AP,'Stato patrimoniale'!$AG:$AG,"&gt;0",'Stato patrimoniale'!$E:$E,$O6,'Stato patrimoniale'!$B:$B,1)</f>
        <v>0</v>
      </c>
      <c r="R6" s="61">
        <f t="shared" ref="R6" si="4">Q6-P6</f>
        <v>0</v>
      </c>
      <c r="S6" s="62" t="str">
        <f t="shared" si="3"/>
        <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F1B1-47A7-4D0E-9289-4119B8F074A1}">
  <sheetPr codeName="Sheet6"/>
  <dimension ref="A1:S7"/>
  <sheetViews>
    <sheetView workbookViewId="0">
      <selection activeCell="C12" sqref="C12"/>
    </sheetView>
  </sheetViews>
  <sheetFormatPr defaultRowHeight="15" x14ac:dyDescent="0.25"/>
  <cols>
    <col min="1" max="1" width="10" customWidth="1"/>
    <col min="2" max="2" width="9" style="61" bestFit="1" customWidth="1"/>
    <col min="3" max="3" width="9" bestFit="1" customWidth="1"/>
    <col min="4" max="4" width="9.7109375" bestFit="1" customWidth="1"/>
    <col min="5" max="5" width="11.7109375"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9</v>
      </c>
      <c r="B2" s="63" t="s">
        <v>281</v>
      </c>
      <c r="C2" s="9" t="s">
        <v>282</v>
      </c>
      <c r="D2" s="9" t="s">
        <v>14</v>
      </c>
      <c r="E2" s="9" t="s">
        <v>20</v>
      </c>
      <c r="O2" s="9" t="s">
        <v>9</v>
      </c>
      <c r="P2" s="63" t="s">
        <v>281</v>
      </c>
      <c r="Q2" s="9" t="s">
        <v>284</v>
      </c>
      <c r="R2" s="9" t="s">
        <v>285</v>
      </c>
      <c r="S2" s="9" t="s">
        <v>283</v>
      </c>
    </row>
    <row r="3" spans="1:19" x14ac:dyDescent="0.25">
      <c r="A3" t="s">
        <v>10</v>
      </c>
      <c r="B3" s="61">
        <f>SUMIFS('Stato patrimoniale'!W:W,'Stato patrimoniale'!$AG:$AG,"",'Stato patrimoniale'!$J:$J,$A3,'Stato patrimoniale'!$B:$B,1)</f>
        <v>166920.53131400005</v>
      </c>
      <c r="C3" s="61">
        <f ca="1">SUMIFS('Stato patrimoniale'!AD:AD,'Stato patrimoniale'!$AG:$AG,"",'Stato patrimoniale'!$J:$J,$A3,'Stato patrimoniale'!$B:$B,1)</f>
        <v>188881.0580530235</v>
      </c>
      <c r="D3" s="61">
        <f ca="1">C3-B3</f>
        <v>21960.526739023451</v>
      </c>
      <c r="E3" s="62">
        <f ca="1">IF(B3=0,"",D3/B3)</f>
        <v>0.13156276562355734</v>
      </c>
      <c r="O3" t="s">
        <v>10</v>
      </c>
      <c r="P3" s="61">
        <f>SUMIFS('Stato patrimoniale'!W:W,'Stato patrimoniale'!$AG:$AG,"&gt;0",'Stato patrimoniale'!$J:$J,$O3,'Stato patrimoniale'!$B:$B,1)</f>
        <v>11631.81105</v>
      </c>
      <c r="Q3" s="61">
        <f>SUMIFS('Stato patrimoniale'!AP:AP,'Stato patrimoniale'!$AG:$AG,"&gt;0",'Stato patrimoniale'!$J:$J,$O3,'Stato patrimoniale'!$B:$B,1)</f>
        <v>14674.450966799999</v>
      </c>
      <c r="R3" s="61">
        <f>Q3-P3</f>
        <v>3042.6399167999989</v>
      </c>
      <c r="S3" s="62">
        <f>IF(P3=0,"",R3/P3)</f>
        <v>0.26157920754739211</v>
      </c>
    </row>
    <row r="4" spans="1:19" x14ac:dyDescent="0.25">
      <c r="A4" t="s">
        <v>28</v>
      </c>
      <c r="B4" s="61">
        <f>SUMIFS('Stato patrimoniale'!W:W,'Stato patrimoniale'!$AG:$AG,"",'Stato patrimoniale'!$J:$J,$A4,'Stato patrimoniale'!$B:$B,1)</f>
        <v>25282.089479679998</v>
      </c>
      <c r="C4" s="61">
        <f ca="1">SUMIFS('Stato patrimoniale'!AD:AD,'Stato patrimoniale'!$AG:$AG,"",'Stato patrimoniale'!$J:$J,$A4,'Stato patrimoniale'!$B:$B,1)</f>
        <v>37161.269474515997</v>
      </c>
      <c r="D4" s="61">
        <f t="shared" ref="D4" ca="1" si="0">C4-B4</f>
        <v>11879.179994835999</v>
      </c>
      <c r="E4" s="62">
        <f t="shared" ref="E4" ca="1" si="1">IF(B4=0,"",D4/B4)</f>
        <v>0.46986543593968627</v>
      </c>
      <c r="O4" t="s">
        <v>28</v>
      </c>
      <c r="P4" s="61">
        <f>SUMIFS('Stato patrimoniale'!W:W,'Stato patrimoniale'!$AG:$AG,"&gt;0",'Stato patrimoniale'!$J:$J,$O4,'Stato patrimoniale'!$B:$B,1)</f>
        <v>12893.16512899698</v>
      </c>
      <c r="Q4" s="61">
        <f>SUMIFS('Stato patrimoniale'!AP:AP,'Stato patrimoniale'!$AG:$AG,"&gt;0",'Stato patrimoniale'!$J:$J,$O4,'Stato patrimoniale'!$B:$B,1)</f>
        <v>17701.077826643887</v>
      </c>
      <c r="R4" s="61">
        <f t="shared" ref="R4" si="2">Q4-P4</f>
        <v>4807.912697646907</v>
      </c>
      <c r="S4" s="62">
        <f t="shared" ref="S4" si="3">IF(P4=0,"",R4/P4)</f>
        <v>0.37290398824054599</v>
      </c>
    </row>
    <row r="5" spans="1:19" x14ac:dyDescent="0.25">
      <c r="A5" t="s">
        <v>97</v>
      </c>
      <c r="B5" s="61">
        <f>SUMIFS('Stato patrimoniale'!W:W,'Stato patrimoniale'!$AG:$AG,"",'Stato patrimoniale'!$J:$J,$A5,'Stato patrimoniale'!$B:$B,1)</f>
        <v>0</v>
      </c>
      <c r="C5" s="61">
        <f>SUMIFS('Stato patrimoniale'!AD:AD,'Stato patrimoniale'!$AG:$AG,"",'Stato patrimoniale'!$J:$J,$A5,'Stato patrimoniale'!$B:$B,1)</f>
        <v>0</v>
      </c>
      <c r="D5" s="61">
        <f t="shared" ref="D5:D6" si="4">C5-B5</f>
        <v>0</v>
      </c>
      <c r="E5" s="62" t="str">
        <f t="shared" ref="E5:E6" si="5">IF(B5=0,"",D5/B5)</f>
        <v/>
      </c>
      <c r="O5" t="s">
        <v>97</v>
      </c>
      <c r="P5" s="61">
        <f>SUMIFS('Stato patrimoniale'!W:W,'Stato patrimoniale'!$AG:$AG,"&gt;0",'Stato patrimoniale'!$J:$J,$O5,'Stato patrimoniale'!$B:$B,1)</f>
        <v>0</v>
      </c>
      <c r="Q5" s="61">
        <f>SUMIFS('Stato patrimoniale'!AP:AP,'Stato patrimoniale'!$AG:$AG,"&gt;0",'Stato patrimoniale'!$J:$J,$O5,'Stato patrimoniale'!$B:$B,1)</f>
        <v>0</v>
      </c>
      <c r="R5" s="61">
        <f t="shared" ref="R5" si="6">Q5-P5</f>
        <v>0</v>
      </c>
      <c r="S5" s="62" t="str">
        <f t="shared" ref="S5" si="7">IF(P5=0,"",R5/P5)</f>
        <v/>
      </c>
    </row>
    <row r="6" spans="1:19" x14ac:dyDescent="0.25">
      <c r="A6" t="s">
        <v>128</v>
      </c>
      <c r="B6" s="61">
        <f>SUMIFS('Stato patrimoniale'!W:W,'Stato patrimoniale'!$AG:$AG,"",'Stato patrimoniale'!$J:$J,$A6,'Stato patrimoniale'!$B:$B,1)</f>
        <v>0</v>
      </c>
      <c r="C6" s="61">
        <f>SUMIFS('Stato patrimoniale'!AD:AD,'Stato patrimoniale'!$AG:$AG,"",'Stato patrimoniale'!$J:$J,$A6,'Stato patrimoniale'!$B:$B,1)</f>
        <v>0</v>
      </c>
      <c r="D6" s="61">
        <f t="shared" si="4"/>
        <v>0</v>
      </c>
      <c r="E6" s="62" t="str">
        <f t="shared" si="5"/>
        <v/>
      </c>
      <c r="O6" t="s">
        <v>128</v>
      </c>
      <c r="P6" s="61">
        <f>SUMIFS('Stato patrimoniale'!W:W,'Stato patrimoniale'!$AG:$AG,"&gt;0",'Stato patrimoniale'!$J:$J,$O6,'Stato patrimoniale'!$B:$B,1)</f>
        <v>0</v>
      </c>
      <c r="Q6" s="61">
        <f>SUMIFS('Stato patrimoniale'!AP:AP,'Stato patrimoniale'!$AG:$AG,"&gt;0",'Stato patrimoniale'!$J:$J,$O6,'Stato patrimoniale'!$B:$B,1)</f>
        <v>0</v>
      </c>
      <c r="R6" s="61">
        <f t="shared" ref="R6:R7" si="8">Q6-P6</f>
        <v>0</v>
      </c>
      <c r="S6" s="62" t="str">
        <f t="shared" ref="S6:S7" si="9">IF(P6=0,"",R6/P6)</f>
        <v/>
      </c>
    </row>
    <row r="7" spans="1:19" x14ac:dyDescent="0.25">
      <c r="A7" t="s">
        <v>226</v>
      </c>
      <c r="B7" s="61">
        <f>SUMIFS('Stato patrimoniale'!W:W,'Stato patrimoniale'!$AG:$AG,"",'Stato patrimoniale'!$J:$J,$A7,'Stato patrimoniale'!$B:$B,1)</f>
        <v>0</v>
      </c>
      <c r="C7" s="61">
        <f>SUMIFS('Stato patrimoniale'!AD:AD,'Stato patrimoniale'!$AG:$AG,"",'Stato patrimoniale'!$J:$J,$A7,'Stato patrimoniale'!$B:$B,1)</f>
        <v>0</v>
      </c>
      <c r="D7" s="61">
        <f t="shared" ref="D7" si="10">C7-B7</f>
        <v>0</v>
      </c>
      <c r="E7" s="62" t="str">
        <f t="shared" ref="E7" si="11">IF(B7=0,"",D7/B7)</f>
        <v/>
      </c>
      <c r="O7" t="s">
        <v>226</v>
      </c>
      <c r="P7" s="61">
        <f>SUMIFS('Stato patrimoniale'!W:W,'Stato patrimoniale'!$AG:$AG,"&gt;0",'Stato patrimoniale'!$J:$J,$O7,'Stato patrimoniale'!$B:$B,1)</f>
        <v>0</v>
      </c>
      <c r="Q7" s="61">
        <f>SUMIFS('Stato patrimoniale'!AP:AP,'Stato patrimoniale'!$AG:$AG,"&gt;0",'Stato patrimoniale'!$J:$J,$O7,'Stato patrimoniale'!$B:$B,1)</f>
        <v>0</v>
      </c>
      <c r="R7" s="61">
        <f t="shared" si="8"/>
        <v>0</v>
      </c>
      <c r="S7" s="62" t="str">
        <f t="shared" si="9"/>
        <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4DFF-D7D3-40C7-A3B8-102C9B7BC54A}">
  <sheetPr codeName="Sheet7"/>
  <dimension ref="A1:S10"/>
  <sheetViews>
    <sheetView workbookViewId="0">
      <selection activeCell="C3" sqref="C3"/>
    </sheetView>
  </sheetViews>
  <sheetFormatPr defaultRowHeight="15" x14ac:dyDescent="0.25"/>
  <cols>
    <col min="1" max="1" width="10" customWidth="1"/>
    <col min="2" max="2" width="9" style="61" bestFit="1" customWidth="1"/>
    <col min="3" max="3" width="9" bestFit="1" customWidth="1"/>
    <col min="4" max="4" width="8.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288</v>
      </c>
      <c r="B2" s="63" t="s">
        <v>281</v>
      </c>
      <c r="C2" s="9" t="s">
        <v>282</v>
      </c>
      <c r="D2" s="9" t="s">
        <v>14</v>
      </c>
      <c r="E2" s="9" t="s">
        <v>20</v>
      </c>
      <c r="O2" s="9" t="s">
        <v>288</v>
      </c>
      <c r="P2" s="63" t="s">
        <v>281</v>
      </c>
      <c r="Q2" s="9" t="s">
        <v>284</v>
      </c>
      <c r="R2" s="9" t="s">
        <v>285</v>
      </c>
      <c r="S2" s="9" t="s">
        <v>283</v>
      </c>
    </row>
    <row r="3" spans="1:19" x14ac:dyDescent="0.25">
      <c r="A3" t="s">
        <v>339</v>
      </c>
      <c r="B3" s="61">
        <f>SUMIFS('Stato patrimoniale'!W:W,'Stato patrimoniale'!$AG:$AG,"",'Stato patrimoniale'!$Y:$Y,$A3,'Stato patrimoniale'!$B:$B,1)</f>
        <v>136764.00596400001</v>
      </c>
      <c r="C3" s="61">
        <f ca="1">SUMIFS('Stato patrimoniale'!AD:AD,'Stato patrimoniale'!$AG:$AG,"",'Stato patrimoniale'!$Y:$Y,$A3,'Stato patrimoniale'!$B:$B,1)</f>
        <v>147895.86578991302</v>
      </c>
      <c r="D3" s="61">
        <f t="shared" ref="D3:D5" ca="1" si="0">C3-B3</f>
        <v>11131.859825913009</v>
      </c>
      <c r="E3" s="62">
        <f ca="1">IF(B3=0,"",D3/B3)</f>
        <v>8.1394660440432073E-2</v>
      </c>
      <c r="O3" t="s">
        <v>339</v>
      </c>
      <c r="P3" s="61">
        <f>SUMIFS('Stato patrimoniale'!W:W,'Stato patrimoniale'!$AG:$AG,"&gt;0",'Stato patrimoniale'!$AI:$AI,$O3,'Stato patrimoniale'!$B:$B,1)</f>
        <v>2228.18285624698</v>
      </c>
      <c r="Q3" s="61">
        <f>SUMIFS('Stato patrimoniale'!AP:AP,'Stato patrimoniale'!$AG:$AG,"&gt;0",'Stato patrimoniale'!$AI:$AI,$O3,'Stato patrimoniale'!$B:$B,1)</f>
        <v>2489.7706957600003</v>
      </c>
      <c r="R3" s="61">
        <f>Q3-P3</f>
        <v>261.5878395130203</v>
      </c>
      <c r="S3" s="62">
        <f>IF(P3=0,"",R3/P3)</f>
        <v>0.11739962848184886</v>
      </c>
    </row>
    <row r="4" spans="1:19" x14ac:dyDescent="0.25">
      <c r="A4" t="s">
        <v>417</v>
      </c>
      <c r="B4" s="61">
        <f>SUMIFS('Stato patrimoniale'!W:W,'Stato patrimoniale'!$AG:$AG,"",'Stato patrimoniale'!$Y:$Y,$A4,'Stato patrimoniale'!$B:$B,1)</f>
        <v>39431.85482968</v>
      </c>
      <c r="C4" s="61">
        <f ca="1">SUMIFS('Stato patrimoniale'!AD:AD,'Stato patrimoniale'!$AG:$AG,"",'Stato patrimoniale'!$Y:$Y,$A4,'Stato patrimoniale'!$B:$B,1)</f>
        <v>61446.294706056062</v>
      </c>
      <c r="D4" s="61">
        <f t="shared" ca="1" si="0"/>
        <v>22014.439876376062</v>
      </c>
      <c r="E4" s="62">
        <f t="shared" ref="E4:E10" ca="1" si="1">IF(B4=0,"",D4/B4)</f>
        <v>0.55829075176565102</v>
      </c>
      <c r="O4" t="s">
        <v>417</v>
      </c>
      <c r="P4" s="61">
        <f>SUMIFS('Stato patrimoniale'!W:W,'Stato patrimoniale'!$AG:$AG,"&gt;0",'Stato patrimoniale'!$AI:$AI,$O4,'Stato patrimoniale'!$B:$B,1)</f>
        <v>22296.79332275</v>
      </c>
      <c r="Q4" s="61">
        <f>SUMIFS('Stato patrimoniale'!AP:AP,'Stato patrimoniale'!$AG:$AG,"&gt;0",'Stato patrimoniale'!$AI:$AI,$O4,'Stato patrimoniale'!$B:$B,1)</f>
        <v>29885.758097683887</v>
      </c>
      <c r="R4" s="61">
        <f>Q4-P4</f>
        <v>7588.9647749338874</v>
      </c>
      <c r="S4" s="62">
        <f t="shared" ref="S4:S10" si="2">IF(P4=0,"",R4/P4)</f>
        <v>0.34036126473804057</v>
      </c>
    </row>
    <row r="5" spans="1:19" x14ac:dyDescent="0.25">
      <c r="A5" t="s">
        <v>340</v>
      </c>
      <c r="B5" s="61">
        <f>SUMIFS('Stato patrimoniale'!W:W,'Stato patrimoniale'!$AG:$AG,"",'Stato patrimoniale'!$Y:$Y,$A5,'Stato patrimoniale'!$B:$B,1)</f>
        <v>16006.759999999998</v>
      </c>
      <c r="C5" s="61">
        <f ca="1">SUMIFS('Stato patrimoniale'!AD:AD,'Stato patrimoniale'!$AG:$AG,"",'Stato patrimoniale'!$Y:$Y,$A5,'Stato patrimoniale'!$B:$B,1)</f>
        <v>16700.167031570432</v>
      </c>
      <c r="D5" s="61">
        <f t="shared" ca="1" si="0"/>
        <v>693.4070315704339</v>
      </c>
      <c r="E5" s="62">
        <f t="shared" ca="1" si="1"/>
        <v>4.3319636926550657E-2</v>
      </c>
      <c r="O5" t="s">
        <v>340</v>
      </c>
      <c r="P5" s="61">
        <f>SUMIFS('Stato patrimoniale'!W:W,'Stato patrimoniale'!$AG:$AG,"&gt;0",'Stato patrimoniale'!$AI:$AI,$O5,'Stato patrimoniale'!$B:$B,1)</f>
        <v>0</v>
      </c>
      <c r="Q5" s="61">
        <f>SUMIFS('Stato patrimoniale'!AP:AP,'Stato patrimoniale'!$AG:$AG,"&gt;0",'Stato patrimoniale'!$AI:$AI,$O5,'Stato patrimoniale'!$B:$B,1)</f>
        <v>0</v>
      </c>
      <c r="R5" s="61">
        <f t="shared" ref="R5" si="3">Q5-P5</f>
        <v>0</v>
      </c>
      <c r="S5" s="62" t="str">
        <f t="shared" si="2"/>
        <v/>
      </c>
    </row>
    <row r="6" spans="1:19" x14ac:dyDescent="0.25">
      <c r="A6" t="s">
        <v>342</v>
      </c>
      <c r="B6" s="61">
        <f>SUMIFS('Stato patrimoniale'!W:W,'Stato patrimoniale'!$AG:$AG,"",'Stato patrimoniale'!$Y:$Y,$A6,'Stato patrimoniale'!$B:$B,1)</f>
        <v>0</v>
      </c>
      <c r="C6" s="61">
        <f>SUMIFS('Stato patrimoniale'!AD:AD,'Stato patrimoniale'!$AG:$AG,"",'Stato patrimoniale'!$Y:$Y,$A6,'Stato patrimoniale'!$B:$B,1)</f>
        <v>0</v>
      </c>
      <c r="D6" s="61">
        <f t="shared" ref="D6" si="4">C6-B6</f>
        <v>0</v>
      </c>
      <c r="E6" s="62" t="str">
        <f t="shared" si="1"/>
        <v/>
      </c>
      <c r="O6" t="s">
        <v>342</v>
      </c>
      <c r="P6" s="61">
        <f>SUMIFS('Stato patrimoniale'!W:W,'Stato patrimoniale'!$AG:$AG,"&gt;0",'Stato patrimoniale'!$AI:$AI,$O6,'Stato patrimoniale'!$B:$B,1)</f>
        <v>0</v>
      </c>
      <c r="Q6" s="61">
        <f>SUMIFS('Stato patrimoniale'!AP:AP,'Stato patrimoniale'!$AG:$AG,"&gt;0",'Stato patrimoniale'!$AI:$AI,$O6,'Stato patrimoniale'!$B:$B,1)</f>
        <v>0</v>
      </c>
      <c r="R6" s="61">
        <f t="shared" ref="R6" si="5">Q6-P6</f>
        <v>0</v>
      </c>
      <c r="S6" s="62" t="str">
        <f t="shared" si="2"/>
        <v/>
      </c>
    </row>
    <row r="7" spans="1:19" x14ac:dyDescent="0.25">
      <c r="A7" t="s">
        <v>346</v>
      </c>
      <c r="B7" s="61">
        <f>SUMIFS('Stato patrimoniale'!W:W,'Stato patrimoniale'!$AG:$AG,"",'Stato patrimoniale'!$Y:$Y,$A7,'Stato patrimoniale'!$B:$B,1)</f>
        <v>0</v>
      </c>
      <c r="C7" s="61">
        <f>SUMIFS('Stato patrimoniale'!AD:AD,'Stato patrimoniale'!$AG:$AG,"",'Stato patrimoniale'!$Y:$Y,$A7,'Stato patrimoniale'!$B:$B,1)</f>
        <v>0</v>
      </c>
      <c r="D7" s="61">
        <f t="shared" ref="D7:D10" si="6">C7-B7</f>
        <v>0</v>
      </c>
      <c r="E7" s="62" t="str">
        <f t="shared" si="1"/>
        <v/>
      </c>
      <c r="O7" t="s">
        <v>346</v>
      </c>
      <c r="P7" s="61">
        <f>SUMIFS('Stato patrimoniale'!W:W,'Stato patrimoniale'!$AG:$AG,"&gt;0",'Stato patrimoniale'!$AI:$AI,$O7,'Stato patrimoniale'!$B:$B,1)</f>
        <v>0</v>
      </c>
      <c r="Q7" s="61">
        <f>SUMIFS('Stato patrimoniale'!AP:AP,'Stato patrimoniale'!$AG:$AG,"&gt;0",'Stato patrimoniale'!$AI:$AI,$O7,'Stato patrimoniale'!$B:$B,1)</f>
        <v>0</v>
      </c>
      <c r="R7" s="61">
        <f t="shared" ref="R7:R10" si="7">Q7-P7</f>
        <v>0</v>
      </c>
      <c r="S7" s="62" t="str">
        <f t="shared" si="2"/>
        <v/>
      </c>
    </row>
    <row r="8" spans="1:19" x14ac:dyDescent="0.25">
      <c r="A8" t="s">
        <v>336</v>
      </c>
      <c r="B8" s="61">
        <f>SUMIFS('Stato patrimoniale'!W:W,'Stato patrimoniale'!$AG:$AG,"",'Stato patrimoniale'!$Y:$Y,$A8,'Stato patrimoniale'!$B:$B,1)</f>
        <v>0</v>
      </c>
      <c r="C8" s="61">
        <f>SUMIFS('Stato patrimoniale'!AD:AD,'Stato patrimoniale'!$AG:$AG,"",'Stato patrimoniale'!$Y:$Y,$A8,'Stato patrimoniale'!$B:$B,1)</f>
        <v>0</v>
      </c>
      <c r="D8" s="61">
        <f t="shared" si="6"/>
        <v>0</v>
      </c>
      <c r="E8" s="62" t="str">
        <f t="shared" si="1"/>
        <v/>
      </c>
      <c r="O8" t="s">
        <v>336</v>
      </c>
      <c r="P8" s="61">
        <f>SUMIFS('Stato patrimoniale'!W:W,'Stato patrimoniale'!$AG:$AG,"&gt;0",'Stato patrimoniale'!$AI:$AI,$O8,'Stato patrimoniale'!$B:$B,1)</f>
        <v>0</v>
      </c>
      <c r="Q8" s="61">
        <f>SUMIFS('Stato patrimoniale'!AP:AP,'Stato patrimoniale'!$AG:$AG,"&gt;0",'Stato patrimoniale'!$AI:$AI,$O8,'Stato patrimoniale'!$B:$B,1)</f>
        <v>0</v>
      </c>
      <c r="R8" s="61">
        <f t="shared" si="7"/>
        <v>0</v>
      </c>
      <c r="S8" s="62" t="str">
        <f t="shared" si="2"/>
        <v/>
      </c>
    </row>
    <row r="9" spans="1:19" x14ac:dyDescent="0.25">
      <c r="A9" t="s">
        <v>337</v>
      </c>
      <c r="B9" s="61">
        <f>SUMIFS('Stato patrimoniale'!W:W,'Stato patrimoniale'!$AG:$AG,"",'Stato patrimoniale'!$Y:$Y,$A9,'Stato patrimoniale'!$B:$B,1)</f>
        <v>0</v>
      </c>
      <c r="C9" s="61">
        <f>SUMIFS('Stato patrimoniale'!AD:AD,'Stato patrimoniale'!$AG:$AG,"",'Stato patrimoniale'!$Y:$Y,$A9,'Stato patrimoniale'!$B:$B,1)</f>
        <v>0</v>
      </c>
      <c r="D9" s="61">
        <f t="shared" si="6"/>
        <v>0</v>
      </c>
      <c r="E9" s="62" t="str">
        <f t="shared" si="1"/>
        <v/>
      </c>
      <c r="O9" t="s">
        <v>337</v>
      </c>
      <c r="P9" s="61">
        <f>SUMIFS('Stato patrimoniale'!W:W,'Stato patrimoniale'!$AG:$AG,"&gt;0",'Stato patrimoniale'!$AI:$AI,$O9,'Stato patrimoniale'!$B:$B,1)</f>
        <v>0</v>
      </c>
      <c r="Q9" s="61">
        <f>SUMIFS('Stato patrimoniale'!AP:AP,'Stato patrimoniale'!$AG:$AG,"&gt;0",'Stato patrimoniale'!$AI:$AI,$O9,'Stato patrimoniale'!$B:$B,1)</f>
        <v>0</v>
      </c>
      <c r="R9" s="61">
        <f t="shared" si="7"/>
        <v>0</v>
      </c>
      <c r="S9" s="62" t="str">
        <f t="shared" si="2"/>
        <v/>
      </c>
    </row>
    <row r="10" spans="1:19" x14ac:dyDescent="0.25">
      <c r="A10" t="s">
        <v>341</v>
      </c>
      <c r="B10" s="61">
        <f>SUMIFS('Stato patrimoniale'!W:W,'Stato patrimoniale'!$AG:$AG,"",'Stato patrimoniale'!$Y:$Y,$A10,'Stato patrimoniale'!$B:$B,1)</f>
        <v>0</v>
      </c>
      <c r="C10" s="61">
        <f>SUMIFS('Stato patrimoniale'!AD:AD,'Stato patrimoniale'!$AG:$AG,"",'Stato patrimoniale'!$Y:$Y,$A10,'Stato patrimoniale'!$B:$B,1)</f>
        <v>0</v>
      </c>
      <c r="D10" s="61">
        <f t="shared" si="6"/>
        <v>0</v>
      </c>
      <c r="E10" s="62" t="str">
        <f t="shared" si="1"/>
        <v/>
      </c>
      <c r="O10" t="s">
        <v>341</v>
      </c>
      <c r="P10" s="61">
        <f>SUMIFS('Stato patrimoniale'!W:W,'Stato patrimoniale'!$AG:$AG,"&gt;0",'Stato patrimoniale'!$AI:$AI,$O10,'Stato patrimoniale'!$B:$B,1)</f>
        <v>0</v>
      </c>
      <c r="Q10" s="61">
        <f>SUMIFS('Stato patrimoniale'!AP:AP,'Stato patrimoniale'!$AG:$AG,"&gt;0",'Stato patrimoniale'!$AI:$AI,$O10,'Stato patrimoniale'!$B:$B,1)</f>
        <v>0</v>
      </c>
      <c r="R10" s="61">
        <f t="shared" si="7"/>
        <v>0</v>
      </c>
      <c r="S10" s="62" t="str">
        <f t="shared" si="2"/>
        <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7CBE-4D62-449E-99C7-D1315EB045AD}">
  <sheetPr codeName="Sheet8"/>
  <dimension ref="A1:S23"/>
  <sheetViews>
    <sheetView workbookViewId="0">
      <selection activeCell="A5" sqref="A5"/>
    </sheetView>
  </sheetViews>
  <sheetFormatPr defaultRowHeight="15" x14ac:dyDescent="0.25"/>
  <cols>
    <col min="1" max="1" width="18.28515625" bestFit="1" customWidth="1"/>
    <col min="2" max="2" width="8" style="61" bestFit="1" customWidth="1"/>
    <col min="3" max="3" width="8" bestFit="1" customWidth="1"/>
    <col min="4" max="4" width="8.7109375" bestFit="1" customWidth="1"/>
    <col min="5" max="5" width="12" bestFit="1" customWidth="1"/>
    <col min="15" max="15" width="17.2851562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275</v>
      </c>
      <c r="B2" s="63" t="s">
        <v>281</v>
      </c>
      <c r="C2" s="9" t="s">
        <v>282</v>
      </c>
      <c r="D2" s="9" t="s">
        <v>14</v>
      </c>
      <c r="E2" s="9" t="s">
        <v>20</v>
      </c>
      <c r="O2" s="9" t="s">
        <v>275</v>
      </c>
      <c r="P2" s="63" t="s">
        <v>281</v>
      </c>
      <c r="Q2" s="9" t="s">
        <v>284</v>
      </c>
      <c r="R2" s="9" t="s">
        <v>285</v>
      </c>
      <c r="S2" s="9" t="s">
        <v>283</v>
      </c>
    </row>
    <row r="3" spans="1:19" s="9" customFormat="1" x14ac:dyDescent="0.25">
      <c r="A3" t="s">
        <v>351</v>
      </c>
      <c r="B3" s="61">
        <f>SUMIFS('Stato patrimoniale'!W:W,'Stato patrimoniale'!$AG:$AG,"",'Stato patrimoniale'!$F:$F,$A3,'Stato patrimoniale'!$B:$B,1)</f>
        <v>39076.925864000004</v>
      </c>
      <c r="C3" s="61">
        <f ca="1">SUMIFS('Stato patrimoniale'!AD:AD,'Stato patrimoniale'!$AG:$AG,"",'Stato patrimoniale'!$F:$F,$A3,'Stato patrimoniale'!$B:$B,1)</f>
        <v>52019.200098415815</v>
      </c>
      <c r="D3" s="61">
        <f t="shared" ref="D3:D6" ca="1" si="0">C3-B3</f>
        <v>12942.27423441581</v>
      </c>
      <c r="E3" s="62">
        <f t="shared" ref="E3:E6" ca="1" si="1">IF(B3=0,"",D3/B3)</f>
        <v>0.33119990757356393</v>
      </c>
      <c r="O3" t="s">
        <v>351</v>
      </c>
      <c r="P3" s="61">
        <f>SUMIFS('Stato patrimoniale'!W:W,'Stato patrimoniale'!$AG:$AG,"&gt;0",'Stato patrimoniale'!$F:$F,$O3,'Stato patrimoniale'!$B:$B,1)</f>
        <v>1052.9000000000001</v>
      </c>
      <c r="Q3" s="61">
        <f>SUMIFS('Stato patrimoniale'!AP:AP,'Stato patrimoniale'!$AG:$AG,"&gt;0",'Stato patrimoniale'!$F:$F,$O3,'Stato patrimoniale'!$B:$B,1)</f>
        <v>1505.4829168000001</v>
      </c>
      <c r="R3" s="61">
        <f>Q3-P3</f>
        <v>452.58291680000002</v>
      </c>
      <c r="S3" s="62">
        <f>IF(P3=0,"",R3/P3)</f>
        <v>0.4298441606990217</v>
      </c>
    </row>
    <row r="4" spans="1:19" s="9" customFormat="1" x14ac:dyDescent="0.25">
      <c r="A4" t="s">
        <v>413</v>
      </c>
      <c r="B4" s="61">
        <f>SUMIFS('Stato patrimoniale'!W:W,'Stato patrimoniale'!$AG:$AG,"",'Stato patrimoniale'!$F:$F,$A4,'Stato patrimoniale'!$B:$B,1)</f>
        <v>1000.9399999999999</v>
      </c>
      <c r="C4" s="61">
        <f ca="1">SUMIFS('Stato patrimoniale'!AD:AD,'Stato patrimoniale'!$AG:$AG,"",'Stato patrimoniale'!$F:$F,$A4,'Stato patrimoniale'!$B:$B,1)</f>
        <v>1602.380003031564</v>
      </c>
      <c r="D4" s="61">
        <f t="shared" ca="1" si="0"/>
        <v>601.44000303156406</v>
      </c>
      <c r="E4" s="62">
        <f t="shared" ca="1" si="1"/>
        <v>0.60087518036202381</v>
      </c>
      <c r="O4" t="s">
        <v>413</v>
      </c>
      <c r="P4" s="61">
        <f>SUMIFS('Stato patrimoniale'!W:W,'Stato patrimoniale'!$AG:$AG,"&gt;0",'Stato patrimoniale'!$F:$F,$O4,'Stato patrimoniale'!$B:$B,1)</f>
        <v>0</v>
      </c>
      <c r="Q4" s="61">
        <f>SUMIFS('Stato patrimoniale'!AP:AP,'Stato patrimoniale'!$AG:$AG,"&gt;0",'Stato patrimoniale'!$F:$F,$O4,'Stato patrimoniale'!$B:$B,1)</f>
        <v>0</v>
      </c>
      <c r="R4" s="61">
        <f>Q4-P4</f>
        <v>0</v>
      </c>
      <c r="S4" s="62" t="str">
        <f>IF(P4=0,"",R4/P4)</f>
        <v/>
      </c>
    </row>
    <row r="5" spans="1:19" s="9" customFormat="1" x14ac:dyDescent="0.25">
      <c r="A5" t="s">
        <v>607</v>
      </c>
      <c r="B5" s="61">
        <f>SUMIFS('Stato patrimoniale'!W:W,'Stato patrimoniale'!$AG:$AG,"",'Stato patrimoniale'!$F:$F,$A5,'Stato patrimoniale'!$B:$B,1)</f>
        <v>10014.140000000001</v>
      </c>
      <c r="C5" s="61">
        <f ca="1">SUMIFS('Stato patrimoniale'!AD:AD,'Stato patrimoniale'!$AG:$AG,"",'Stato patrimoniale'!$F:$F,$A5,'Stato patrimoniale'!$B:$B,1)</f>
        <v>11291.640021362802</v>
      </c>
      <c r="D5" s="61">
        <f t="shared" ca="1" si="0"/>
        <v>1277.5000213628009</v>
      </c>
      <c r="E5" s="62">
        <f t="shared" ca="1" si="1"/>
        <v>0.12756961869544473</v>
      </c>
      <c r="O5" t="s">
        <v>607</v>
      </c>
      <c r="P5" s="61">
        <f>SUMIFS('Stato patrimoniale'!W:W,'Stato patrimoniale'!$AG:$AG,"&gt;0",'Stato patrimoniale'!$F:$F,$O5,'Stato patrimoniale'!$B:$B,1)</f>
        <v>0</v>
      </c>
      <c r="Q5" s="61">
        <f>SUMIFS('Stato patrimoniale'!AP:AP,'Stato patrimoniale'!$AG:$AG,"&gt;0",'Stato patrimoniale'!$F:$F,$O5,'Stato patrimoniale'!$B:$B,1)</f>
        <v>0</v>
      </c>
      <c r="R5" s="61">
        <f>Q5-P5</f>
        <v>0</v>
      </c>
      <c r="S5" s="62" t="str">
        <f>IF(P5=0,"",R5/P5)</f>
        <v/>
      </c>
    </row>
    <row r="6" spans="1:19" s="9" customFormat="1" x14ac:dyDescent="0.25">
      <c r="A6" t="s">
        <v>414</v>
      </c>
      <c r="B6" s="61">
        <f>SUMIFS('Stato patrimoniale'!W:W,'Stato patrimoniale'!$AG:$AG,"",'Stato patrimoniale'!$F:$F,$A6,'Stato patrimoniale'!$B:$B,1)</f>
        <v>0</v>
      </c>
      <c r="C6" s="61">
        <f>SUMIFS('Stato patrimoniale'!AD:AD,'Stato patrimoniale'!$AG:$AG,"",'Stato patrimoniale'!$F:$F,$A6,'Stato patrimoniale'!$B:$B,1)</f>
        <v>0</v>
      </c>
      <c r="D6" s="61">
        <f t="shared" si="0"/>
        <v>0</v>
      </c>
      <c r="E6" s="62" t="str">
        <f t="shared" si="1"/>
        <v/>
      </c>
      <c r="O6" t="s">
        <v>414</v>
      </c>
      <c r="P6" s="61">
        <f>SUMIFS('Stato patrimoniale'!W:W,'Stato patrimoniale'!$AG:$AG,"&gt;0",'Stato patrimoniale'!$F:$F,$O6,'Stato patrimoniale'!$B:$B,1)</f>
        <v>516.05000000000007</v>
      </c>
      <c r="Q6" s="61">
        <f>SUMIFS('Stato patrimoniale'!AP:AP,'Stato patrimoniale'!$AG:$AG,"&gt;0",'Stato patrimoniale'!$F:$F,$O6,'Stato patrimoniale'!$B:$B,1)</f>
        <v>661.58799999999997</v>
      </c>
      <c r="R6" s="61">
        <f>Q6-P6</f>
        <v>145.5379999999999</v>
      </c>
      <c r="S6" s="62">
        <f>IF(P6=0,"",R6/P6)</f>
        <v>0.28202305978102871</v>
      </c>
    </row>
    <row r="7" spans="1:19" x14ac:dyDescent="0.25">
      <c r="A7" t="s">
        <v>307</v>
      </c>
      <c r="B7" s="61">
        <f>SUMIFS('Stato patrimoniale'!W:W,'Stato patrimoniale'!$AG:$AG,"",'Stato patrimoniale'!$F:$F,$A7,'Stato patrimoniale'!$B:$B,1)</f>
        <v>28785.199479679999</v>
      </c>
      <c r="C7" s="61">
        <f ca="1">SUMIFS('Stato patrimoniale'!AD:AD,'Stato patrimoniale'!$AG:$AG,"",'Stato patrimoniale'!$F:$F,$A7,'Stato patrimoniale'!$B:$B,1)</f>
        <v>42754.469485097849</v>
      </c>
      <c r="D7" s="61">
        <f t="shared" ref="D7:D23" ca="1" si="2">C7-B7</f>
        <v>13969.270005417849</v>
      </c>
      <c r="E7" s="62">
        <f t="shared" ref="E7:E23" ca="1" si="3">IF(B7=0,"",D7/B7)</f>
        <v>0.48529349311193809</v>
      </c>
      <c r="O7" t="s">
        <v>307</v>
      </c>
      <c r="P7" s="61">
        <f>SUMIFS('Stato patrimoniale'!W:W,'Stato patrimoniale'!$AG:$AG,"&gt;0",'Stato patrimoniale'!$F:$F,$O7,'Stato patrimoniale'!$B:$B,1)</f>
        <v>14440.815128996979</v>
      </c>
      <c r="Q7" s="61">
        <f>SUMIFS('Stato patrimoniale'!AP:AP,'Stato patrimoniale'!$AG:$AG,"&gt;0",'Stato patrimoniale'!$F:$F,$O7,'Stato patrimoniale'!$B:$B,1)</f>
        <v>20340.280626643886</v>
      </c>
      <c r="R7" s="61">
        <f>Q7-P7</f>
        <v>5899.4654976469064</v>
      </c>
      <c r="S7" s="62">
        <f>IF(P7=0,"",R7/P7)</f>
        <v>0.40852718111464859</v>
      </c>
    </row>
    <row r="8" spans="1:19" x14ac:dyDescent="0.25">
      <c r="A8" t="s">
        <v>306</v>
      </c>
      <c r="B8" s="61">
        <f>SUMIFS('Stato patrimoniale'!W:W,'Stato patrimoniale'!$AG:$AG,"",'Stato patrimoniale'!$F:$F,$A8,'Stato patrimoniale'!$B:$B,1)</f>
        <v>74703.018800000005</v>
      </c>
      <c r="C8" s="61">
        <f ca="1">SUMIFS('Stato patrimoniale'!AD:AD,'Stato patrimoniale'!$AG:$AG,"",'Stato patrimoniale'!$F:$F,$A8,'Stato patrimoniale'!$B:$B,1)</f>
        <v>77463.398346159025</v>
      </c>
      <c r="D8" s="61">
        <f t="shared" ca="1" si="2"/>
        <v>2760.3795461590198</v>
      </c>
      <c r="E8" s="62">
        <f t="shared" ca="1" si="3"/>
        <v>3.6951378813074413E-2</v>
      </c>
      <c r="O8" t="s">
        <v>306</v>
      </c>
      <c r="P8" s="61">
        <f>SUMIFS('Stato patrimoniale'!W:W,'Stato patrimoniale'!$AG:$AG,"&gt;0",'Stato patrimoniale'!$F:$F,$O8,'Stato patrimoniale'!$B:$B,1)</f>
        <v>0</v>
      </c>
      <c r="Q8" s="61">
        <f>SUMIFS('Stato patrimoniale'!AP:AP,'Stato patrimoniale'!$AG:$AG,"&gt;0",'Stato patrimoniale'!$F:$F,$O8,'Stato patrimoniale'!$B:$B,1)</f>
        <v>0</v>
      </c>
      <c r="R8" s="61">
        <f t="shared" ref="R8" si="4">Q8-P8</f>
        <v>0</v>
      </c>
      <c r="S8" s="62" t="str">
        <f t="shared" ref="S8" si="5">IF(P8=0,"",R8/P8)</f>
        <v/>
      </c>
    </row>
    <row r="9" spans="1:19" x14ac:dyDescent="0.25">
      <c r="A9" t="s">
        <v>308</v>
      </c>
      <c r="B9" s="61">
        <f>SUMIFS('Stato patrimoniale'!W:W,'Stato patrimoniale'!$AG:$AG,"",'Stato patrimoniale'!$F:$F,$A9,'Stato patrimoniale'!$B:$B,1)</f>
        <v>0</v>
      </c>
      <c r="C9" s="61">
        <f>SUMIFS('Stato patrimoniale'!AD:AD,'Stato patrimoniale'!$AG:$AG,"",'Stato patrimoniale'!$F:$F,$A9,'Stato patrimoniale'!$B:$B,1)</f>
        <v>0</v>
      </c>
      <c r="D9" s="61">
        <f t="shared" si="2"/>
        <v>0</v>
      </c>
      <c r="E9" s="62" t="str">
        <f t="shared" si="3"/>
        <v/>
      </c>
      <c r="O9" t="s">
        <v>308</v>
      </c>
      <c r="P9" s="61">
        <f>SUMIFS('Stato patrimoniale'!W:W,'Stato patrimoniale'!$AG:$AG,"&gt;0",'Stato patrimoniale'!$F:$F,$O9,'Stato patrimoniale'!$B:$B,1)</f>
        <v>0</v>
      </c>
      <c r="Q9" s="61">
        <f>SUMIFS('Stato patrimoniale'!AP:AP,'Stato patrimoniale'!$AG:$AG,"&gt;0",'Stato patrimoniale'!$F:$F,$O9,'Stato patrimoniale'!$B:$B,1)</f>
        <v>0</v>
      </c>
      <c r="R9" s="61">
        <f t="shared" ref="R9" si="6">Q9-P9</f>
        <v>0</v>
      </c>
      <c r="S9" s="62" t="str">
        <f t="shared" ref="S9" si="7">IF(P9=0,"",R9/P9)</f>
        <v/>
      </c>
    </row>
    <row r="10" spans="1:19" x14ac:dyDescent="0.25">
      <c r="A10" t="s">
        <v>316</v>
      </c>
      <c r="B10" s="61">
        <f>SUMIFS('Stato patrimoniale'!W:W,'Stato patrimoniale'!$AG:$AG,"",'Stato patrimoniale'!$F:$F,$A10,'Stato patrimoniale'!$B:$B,1)</f>
        <v>0</v>
      </c>
      <c r="C10" s="61">
        <f>SUMIFS('Stato patrimoniale'!AD:AD,'Stato patrimoniale'!$AG:$AG,"",'Stato patrimoniale'!$F:$F,$A10,'Stato patrimoniale'!$B:$B,1)</f>
        <v>0</v>
      </c>
      <c r="D10" s="61">
        <f t="shared" si="2"/>
        <v>0</v>
      </c>
      <c r="E10" s="62" t="str">
        <f t="shared" si="3"/>
        <v/>
      </c>
      <c r="O10" t="s">
        <v>316</v>
      </c>
      <c r="P10" s="61">
        <f>SUMIFS('Stato patrimoniale'!W:W,'Stato patrimoniale'!$AG:$AG,"&gt;0",'Stato patrimoniale'!$F:$F,$O10,'Stato patrimoniale'!$B:$B,1)</f>
        <v>0</v>
      </c>
      <c r="Q10" s="61">
        <f>SUMIFS('Stato patrimoniale'!AP:AP,'Stato patrimoniale'!$AG:$AG,"&gt;0",'Stato patrimoniale'!$F:$F,$O10,'Stato patrimoniale'!$B:$B,1)</f>
        <v>0</v>
      </c>
      <c r="R10" s="61">
        <f t="shared" ref="R10:R21" si="8">Q10-P10</f>
        <v>0</v>
      </c>
      <c r="S10" s="62" t="str">
        <f t="shared" ref="S10:S21" si="9">IF(P10=0,"",R10/P10)</f>
        <v/>
      </c>
    </row>
    <row r="11" spans="1:19" x14ac:dyDescent="0.25">
      <c r="A11" t="s">
        <v>309</v>
      </c>
      <c r="B11" s="61">
        <f>SUMIFS('Stato patrimoniale'!W:W,'Stato patrimoniale'!$AG:$AG,"",'Stato patrimoniale'!$F:$F,$A11,'Stato patrimoniale'!$B:$B,1)</f>
        <v>0</v>
      </c>
      <c r="C11" s="61">
        <f>SUMIFS('Stato patrimoniale'!AD:AD,'Stato patrimoniale'!$AG:$AG,"",'Stato patrimoniale'!$F:$F,$A11,'Stato patrimoniale'!$B:$B,1)</f>
        <v>0</v>
      </c>
      <c r="D11" s="61">
        <f t="shared" si="2"/>
        <v>0</v>
      </c>
      <c r="E11" s="62" t="str">
        <f t="shared" si="3"/>
        <v/>
      </c>
      <c r="O11" t="s">
        <v>309</v>
      </c>
      <c r="P11" s="61">
        <f>SUMIFS('Stato patrimoniale'!W:W,'Stato patrimoniale'!$AG:$AG,"&gt;0",'Stato patrimoniale'!$F:$F,$O11,'Stato patrimoniale'!$B:$B,1)</f>
        <v>0</v>
      </c>
      <c r="Q11" s="61">
        <f>SUMIFS('Stato patrimoniale'!AP:AP,'Stato patrimoniale'!$AG:$AG,"&gt;0",'Stato patrimoniale'!$F:$F,$O11,'Stato patrimoniale'!$B:$B,1)</f>
        <v>0</v>
      </c>
      <c r="R11" s="61">
        <f t="shared" si="8"/>
        <v>0</v>
      </c>
      <c r="S11" s="62" t="str">
        <f t="shared" si="9"/>
        <v/>
      </c>
    </row>
    <row r="12" spans="1:19" x14ac:dyDescent="0.25">
      <c r="A12" t="s">
        <v>313</v>
      </c>
      <c r="B12" s="61">
        <f>SUMIFS('Stato patrimoniale'!W:W,'Stato patrimoniale'!$AG:$AG,"",'Stato patrimoniale'!$F:$F,$A12,'Stato patrimoniale'!$B:$B,1)</f>
        <v>0</v>
      </c>
      <c r="C12" s="61">
        <f>SUMIFS('Stato patrimoniale'!AD:AD,'Stato patrimoniale'!$AG:$AG,"",'Stato patrimoniale'!$F:$F,$A12,'Stato patrimoniale'!$B:$B,1)</f>
        <v>0</v>
      </c>
      <c r="D12" s="61">
        <f t="shared" si="2"/>
        <v>0</v>
      </c>
      <c r="E12" s="62" t="str">
        <f t="shared" si="3"/>
        <v/>
      </c>
      <c r="O12" t="s">
        <v>313</v>
      </c>
      <c r="P12" s="61">
        <f>SUMIFS('Stato patrimoniale'!W:W,'Stato patrimoniale'!$AG:$AG,"&gt;0",'Stato patrimoniale'!$F:$F,$O12,'Stato patrimoniale'!$B:$B,1)</f>
        <v>0</v>
      </c>
      <c r="Q12" s="61">
        <f>SUMIFS('Stato patrimoniale'!AP:AP,'Stato patrimoniale'!$AG:$AG,"&gt;0",'Stato patrimoniale'!$F:$F,$O12,'Stato patrimoniale'!$B:$B,1)</f>
        <v>0</v>
      </c>
      <c r="R12" s="61">
        <f t="shared" si="8"/>
        <v>0</v>
      </c>
      <c r="S12" s="62" t="str">
        <f t="shared" si="9"/>
        <v/>
      </c>
    </row>
    <row r="13" spans="1:19" x14ac:dyDescent="0.25">
      <c r="A13" t="s">
        <v>276</v>
      </c>
      <c r="B13" s="61">
        <f>SUMIFS('Stato patrimoniale'!W:W,'Stato patrimoniale'!$AG:$AG,"",'Stato patrimoniale'!$F:$F,$A13,'Stato patrimoniale'!$B:$B,1)</f>
        <v>38622.396649999995</v>
      </c>
      <c r="C13" s="61">
        <f ca="1">SUMIFS('Stato patrimoniale'!AD:AD,'Stato patrimoniale'!$AG:$AG,"",'Stato patrimoniale'!$F:$F,$A13,'Stato patrimoniale'!$B:$B,1)</f>
        <v>40911.239573472427</v>
      </c>
      <c r="D13" s="61">
        <f t="shared" ca="1" si="2"/>
        <v>2288.8429234724317</v>
      </c>
      <c r="E13" s="62">
        <f t="shared" ca="1" si="3"/>
        <v>5.926206351755315E-2</v>
      </c>
      <c r="O13" t="s">
        <v>276</v>
      </c>
      <c r="P13" s="61">
        <f>SUMIFS('Stato patrimoniale'!W:W,'Stato patrimoniale'!$AG:$AG,"&gt;0",'Stato patrimoniale'!$F:$F,$O13,'Stato patrimoniale'!$B:$B,1)</f>
        <v>8515.2110499999999</v>
      </c>
      <c r="Q13" s="61">
        <f>SUMIFS('Stato patrimoniale'!AP:AP,'Stato patrimoniale'!$AG:$AG,"&gt;0",'Stato patrimoniale'!$F:$F,$O13,'Stato patrimoniale'!$B:$B,1)</f>
        <v>9868.1772500000006</v>
      </c>
      <c r="R13" s="61">
        <f t="shared" si="8"/>
        <v>1352.9662000000008</v>
      </c>
      <c r="S13" s="62">
        <f t="shared" si="9"/>
        <v>0.15888815815081891</v>
      </c>
    </row>
    <row r="14" spans="1:19" x14ac:dyDescent="0.25">
      <c r="A14" t="s">
        <v>310</v>
      </c>
      <c r="B14" s="61">
        <f>SUMIFS('Stato patrimoniale'!W:W,'Stato patrimoniale'!$AG:$AG,"",'Stato patrimoniale'!$F:$F,$A14,'Stato patrimoniale'!$B:$B,1)</f>
        <v>0</v>
      </c>
      <c r="C14" s="61">
        <f>SUMIFS('Stato patrimoniale'!AD:AD,'Stato patrimoniale'!$AG:$AG,"",'Stato patrimoniale'!$F:$F,$A14,'Stato patrimoniale'!$B:$B,1)</f>
        <v>0</v>
      </c>
      <c r="D14" s="61">
        <f t="shared" si="2"/>
        <v>0</v>
      </c>
      <c r="E14" s="62" t="str">
        <f t="shared" si="3"/>
        <v/>
      </c>
      <c r="O14" t="s">
        <v>310</v>
      </c>
      <c r="P14" s="61">
        <f>SUMIFS('Stato patrimoniale'!W:W,'Stato patrimoniale'!$AG:$AG,"&gt;0",'Stato patrimoniale'!$F:$F,$O14,'Stato patrimoniale'!$B:$B,1)</f>
        <v>0</v>
      </c>
      <c r="Q14" s="61">
        <f>SUMIFS('Stato patrimoniale'!AP:AP,'Stato patrimoniale'!$AG:$AG,"&gt;0",'Stato patrimoniale'!$F:$F,$O14,'Stato patrimoniale'!$B:$B,1)</f>
        <v>0</v>
      </c>
      <c r="R14" s="61">
        <f t="shared" si="8"/>
        <v>0</v>
      </c>
      <c r="S14" s="62" t="str">
        <f t="shared" si="9"/>
        <v/>
      </c>
    </row>
    <row r="15" spans="1:19" x14ac:dyDescent="0.25">
      <c r="A15" t="s">
        <v>319</v>
      </c>
      <c r="B15" s="61">
        <f>SUMIFS('Stato patrimoniale'!W:W,'Stato patrimoniale'!$AG:$AG,"",'Stato patrimoniale'!$F:$F,$A15,'Stato patrimoniale'!$B:$B,1)</f>
        <v>0</v>
      </c>
      <c r="C15" s="61">
        <f>SUMIFS('Stato patrimoniale'!AD:AD,'Stato patrimoniale'!$AG:$AG,"",'Stato patrimoniale'!$F:$F,$A15,'Stato patrimoniale'!$B:$B,1)</f>
        <v>0</v>
      </c>
      <c r="D15" s="61">
        <f t="shared" si="2"/>
        <v>0</v>
      </c>
      <c r="E15" s="62" t="str">
        <f t="shared" si="3"/>
        <v/>
      </c>
      <c r="O15" t="s">
        <v>319</v>
      </c>
      <c r="P15" s="61">
        <f>SUMIFS('Stato patrimoniale'!W:W,'Stato patrimoniale'!$AG:$AG,"&gt;0",'Stato patrimoniale'!$F:$F,$O15,'Stato patrimoniale'!$B:$B,1)</f>
        <v>0</v>
      </c>
      <c r="Q15" s="61">
        <f>SUMIFS('Stato patrimoniale'!AP:AP,'Stato patrimoniale'!$AG:$AG,"&gt;0",'Stato patrimoniale'!$F:$F,$O15,'Stato patrimoniale'!$B:$B,1)</f>
        <v>0</v>
      </c>
      <c r="R15" s="61">
        <f t="shared" si="8"/>
        <v>0</v>
      </c>
      <c r="S15" s="62" t="str">
        <f t="shared" si="9"/>
        <v/>
      </c>
    </row>
    <row r="16" spans="1:19" x14ac:dyDescent="0.25">
      <c r="A16" t="s">
        <v>312</v>
      </c>
      <c r="B16" s="61">
        <f>SUMIFS('Stato patrimoniale'!W:W,'Stato patrimoniale'!$AG:$AG,"",'Stato patrimoniale'!$F:$F,$A16,'Stato patrimoniale'!$B:$B,1)</f>
        <v>0</v>
      </c>
      <c r="C16" s="61">
        <f>SUMIFS('Stato patrimoniale'!AD:AD,'Stato patrimoniale'!$AG:$AG,"",'Stato patrimoniale'!$F:$F,$A16,'Stato patrimoniale'!$B:$B,1)</f>
        <v>0</v>
      </c>
      <c r="D16" s="61">
        <f t="shared" si="2"/>
        <v>0</v>
      </c>
      <c r="E16" s="62" t="str">
        <f t="shared" si="3"/>
        <v/>
      </c>
      <c r="O16" t="s">
        <v>312</v>
      </c>
      <c r="P16" s="61">
        <f>SUMIFS('Stato patrimoniale'!W:W,'Stato patrimoniale'!$AG:$AG,"&gt;0",'Stato patrimoniale'!$F:$F,$O16,'Stato patrimoniale'!$B:$B,1)</f>
        <v>0</v>
      </c>
      <c r="Q16" s="61">
        <f>SUMIFS('Stato patrimoniale'!AP:AP,'Stato patrimoniale'!$AG:$AG,"&gt;0",'Stato patrimoniale'!$F:$F,$O16,'Stato patrimoniale'!$B:$B,1)</f>
        <v>0</v>
      </c>
      <c r="R16" s="61">
        <f t="shared" si="8"/>
        <v>0</v>
      </c>
      <c r="S16" s="62" t="str">
        <f t="shared" si="9"/>
        <v/>
      </c>
    </row>
    <row r="17" spans="1:19" x14ac:dyDescent="0.25">
      <c r="A17" t="s">
        <v>314</v>
      </c>
      <c r="B17" s="61">
        <f>SUMIFS('Stato patrimoniale'!W:W,'Stato patrimoniale'!$AG:$AG,"",'Stato patrimoniale'!$F:$F,$A17,'Stato patrimoniale'!$B:$B,1)</f>
        <v>0</v>
      </c>
      <c r="C17" s="61">
        <f>SUMIFS('Stato patrimoniale'!AD:AD,'Stato patrimoniale'!$AG:$AG,"",'Stato patrimoniale'!$F:$F,$A17,'Stato patrimoniale'!$B:$B,1)</f>
        <v>0</v>
      </c>
      <c r="D17" s="61">
        <f t="shared" si="2"/>
        <v>0</v>
      </c>
      <c r="E17" s="62" t="str">
        <f t="shared" si="3"/>
        <v/>
      </c>
      <c r="O17" t="s">
        <v>314</v>
      </c>
      <c r="P17" s="61">
        <f>SUMIFS('Stato patrimoniale'!W:W,'Stato patrimoniale'!$AG:$AG,"&gt;0",'Stato patrimoniale'!$F:$F,$O17,'Stato patrimoniale'!$B:$B,1)</f>
        <v>0</v>
      </c>
      <c r="Q17" s="61">
        <f>SUMIFS('Stato patrimoniale'!AP:AP,'Stato patrimoniale'!$AG:$AG,"&gt;0",'Stato patrimoniale'!$F:$F,$O17,'Stato patrimoniale'!$B:$B,1)</f>
        <v>0</v>
      </c>
      <c r="R17" s="61">
        <f t="shared" si="8"/>
        <v>0</v>
      </c>
      <c r="S17" s="62" t="str">
        <f t="shared" si="9"/>
        <v/>
      </c>
    </row>
    <row r="18" spans="1:19" x14ac:dyDescent="0.25">
      <c r="A18" t="s">
        <v>318</v>
      </c>
      <c r="B18" s="61">
        <f>SUMIFS('Stato patrimoniale'!W:W,'Stato patrimoniale'!$AG:$AG,"",'Stato patrimoniale'!$F:$F,$A18,'Stato patrimoniale'!$B:$B,1)</f>
        <v>0</v>
      </c>
      <c r="C18" s="61">
        <f>SUMIFS('Stato patrimoniale'!AD:AD,'Stato patrimoniale'!$AG:$AG,"",'Stato patrimoniale'!$F:$F,$A18,'Stato patrimoniale'!$B:$B,1)</f>
        <v>0</v>
      </c>
      <c r="D18" s="61">
        <f t="shared" si="2"/>
        <v>0</v>
      </c>
      <c r="E18" s="62" t="str">
        <f t="shared" si="3"/>
        <v/>
      </c>
      <c r="O18" t="s">
        <v>318</v>
      </c>
      <c r="P18" s="61">
        <f>SUMIFS('Stato patrimoniale'!W:W,'Stato patrimoniale'!$AG:$AG,"&gt;0",'Stato patrimoniale'!$F:$F,$O18,'Stato patrimoniale'!$B:$B,1)</f>
        <v>0</v>
      </c>
      <c r="Q18" s="61">
        <f>SUMIFS('Stato patrimoniale'!AP:AP,'Stato patrimoniale'!$AG:$AG,"&gt;0",'Stato patrimoniale'!$F:$F,$O18,'Stato patrimoniale'!$B:$B,1)</f>
        <v>0</v>
      </c>
      <c r="R18" s="61">
        <f t="shared" si="8"/>
        <v>0</v>
      </c>
      <c r="S18" s="62" t="str">
        <f t="shared" si="9"/>
        <v/>
      </c>
    </row>
    <row r="19" spans="1:19" x14ac:dyDescent="0.25">
      <c r="A19" t="s">
        <v>315</v>
      </c>
      <c r="B19" s="61">
        <f>SUMIFS('Stato patrimoniale'!W:W,'Stato patrimoniale'!$AG:$AG,"",'Stato patrimoniale'!$F:$F,$A19,'Stato patrimoniale'!$B:$B,1)</f>
        <v>0</v>
      </c>
      <c r="C19" s="61">
        <f>SUMIFS('Stato patrimoniale'!AD:AD,'Stato patrimoniale'!$AG:$AG,"",'Stato patrimoniale'!$F:$F,$A19,'Stato patrimoniale'!$B:$B,1)</f>
        <v>0</v>
      </c>
      <c r="D19" s="61">
        <f t="shared" si="2"/>
        <v>0</v>
      </c>
      <c r="E19" s="62" t="str">
        <f t="shared" si="3"/>
        <v/>
      </c>
      <c r="O19" t="s">
        <v>315</v>
      </c>
      <c r="P19" s="61">
        <f>SUMIFS('Stato patrimoniale'!W:W,'Stato patrimoniale'!$AG:$AG,"&gt;0",'Stato patrimoniale'!$F:$F,$O19,'Stato patrimoniale'!$B:$B,1)</f>
        <v>0</v>
      </c>
      <c r="Q19" s="61">
        <f>SUMIFS('Stato patrimoniale'!AP:AP,'Stato patrimoniale'!$AG:$AG,"&gt;0",'Stato patrimoniale'!$F:$F,$O19,'Stato patrimoniale'!$B:$B,1)</f>
        <v>0</v>
      </c>
      <c r="R19" s="61">
        <f t="shared" si="8"/>
        <v>0</v>
      </c>
      <c r="S19" s="62" t="str">
        <f t="shared" si="9"/>
        <v/>
      </c>
    </row>
    <row r="20" spans="1:19" x14ac:dyDescent="0.25">
      <c r="A20" t="s">
        <v>317</v>
      </c>
      <c r="B20" s="61">
        <f>SUMIFS('Stato patrimoniale'!W:W,'Stato patrimoniale'!$AG:$AG,"",'Stato patrimoniale'!$F:$F,$A20,'Stato patrimoniale'!$B:$B,1)</f>
        <v>0</v>
      </c>
      <c r="C20" s="61">
        <f>SUMIFS('Stato patrimoniale'!AD:AD,'Stato patrimoniale'!$AG:$AG,"",'Stato patrimoniale'!$F:$F,$A20,'Stato patrimoniale'!$B:$B,1)</f>
        <v>0</v>
      </c>
      <c r="D20" s="61">
        <f t="shared" si="2"/>
        <v>0</v>
      </c>
      <c r="E20" s="62" t="str">
        <f t="shared" si="3"/>
        <v/>
      </c>
      <c r="O20" t="s">
        <v>317</v>
      </c>
      <c r="P20" s="61">
        <f>SUMIFS('Stato patrimoniale'!W:W,'Stato patrimoniale'!$AG:$AG,"&gt;0",'Stato patrimoniale'!$F:$F,$O20,'Stato patrimoniale'!$B:$B,1)</f>
        <v>0</v>
      </c>
      <c r="Q20" s="61">
        <f>SUMIFS('Stato patrimoniale'!AP:AP,'Stato patrimoniale'!$AG:$AG,"&gt;0",'Stato patrimoniale'!$F:$F,$O20,'Stato patrimoniale'!$B:$B,1)</f>
        <v>0</v>
      </c>
      <c r="R20" s="61">
        <f t="shared" si="8"/>
        <v>0</v>
      </c>
      <c r="S20" s="62" t="str">
        <f t="shared" si="9"/>
        <v/>
      </c>
    </row>
    <row r="21" spans="1:19" x14ac:dyDescent="0.25">
      <c r="A21" t="s">
        <v>325</v>
      </c>
      <c r="B21" s="61">
        <f>SUMIFS('Stato patrimoniale'!W:W,'Stato patrimoniale'!$AG:$AG,"",'Stato patrimoniale'!$F:$F,$A21,'Stato patrimoniale'!$B:$B,1)</f>
        <v>0</v>
      </c>
      <c r="C21" s="61">
        <f>SUMIFS('Stato patrimoniale'!AD:AD,'Stato patrimoniale'!$AG:$AG,"",'Stato patrimoniale'!$F:$F,$A21,'Stato patrimoniale'!$B:$B,1)</f>
        <v>0</v>
      </c>
      <c r="D21" s="61">
        <f t="shared" si="2"/>
        <v>0</v>
      </c>
      <c r="E21" s="62" t="str">
        <f t="shared" si="3"/>
        <v/>
      </c>
      <c r="O21" t="s">
        <v>325</v>
      </c>
      <c r="P21" s="61">
        <f>SUMIFS('Stato patrimoniale'!W:W,'Stato patrimoniale'!$AG:$AG,"&gt;0",'Stato patrimoniale'!$F:$F,$O21,'Stato patrimoniale'!$B:$B,1)</f>
        <v>0</v>
      </c>
      <c r="Q21" s="61">
        <f>SUMIFS('Stato patrimoniale'!AP:AP,'Stato patrimoniale'!$AG:$AG,"&gt;0",'Stato patrimoniale'!$F:$F,$O21,'Stato patrimoniale'!$B:$B,1)</f>
        <v>0</v>
      </c>
      <c r="R21" s="61">
        <f t="shared" si="8"/>
        <v>0</v>
      </c>
      <c r="S21" s="62" t="str">
        <f t="shared" si="9"/>
        <v/>
      </c>
    </row>
    <row r="22" spans="1:19" x14ac:dyDescent="0.25">
      <c r="A22" t="s">
        <v>311</v>
      </c>
      <c r="B22" s="61">
        <f>SUMIFS('Stato patrimoniale'!W:W,'Stato patrimoniale'!$AG:$AG,"",'Stato patrimoniale'!$F:$F,$A22,'Stato patrimoniale'!$B:$B,1)</f>
        <v>0</v>
      </c>
      <c r="C22" s="61">
        <f>SUMIFS('Stato patrimoniale'!AD:AD,'Stato patrimoniale'!$AG:$AG,"",'Stato patrimoniale'!$F:$F,$A22,'Stato patrimoniale'!$B:$B,1)</f>
        <v>0</v>
      </c>
      <c r="D22" s="61">
        <f t="shared" si="2"/>
        <v>0</v>
      </c>
      <c r="E22" s="62" t="str">
        <f t="shared" si="3"/>
        <v/>
      </c>
      <c r="O22" t="s">
        <v>311</v>
      </c>
      <c r="P22" s="61">
        <f>SUMIFS('Stato patrimoniale'!W:W,'Stato patrimoniale'!$AG:$AG,"&gt;0",'Stato patrimoniale'!$F:$F,$O22,'Stato patrimoniale'!$B:$B,1)</f>
        <v>0</v>
      </c>
      <c r="Q22" s="61">
        <f>SUMIFS('Stato patrimoniale'!AP:AP,'Stato patrimoniale'!$AG:$AG,"&gt;0",'Stato patrimoniale'!$F:$F,$O22,'Stato patrimoniale'!$B:$B,1)</f>
        <v>0</v>
      </c>
      <c r="R22" s="61">
        <f t="shared" ref="R22:R23" si="10">Q22-P22</f>
        <v>0</v>
      </c>
      <c r="S22" s="62" t="str">
        <f t="shared" ref="S22:S23" si="11">IF(P22=0,"",R22/P22)</f>
        <v/>
      </c>
    </row>
    <row r="23" spans="1:19" x14ac:dyDescent="0.25">
      <c r="A23" t="s">
        <v>324</v>
      </c>
      <c r="B23" s="61">
        <f>SUMIFS('Stato patrimoniale'!W:W,'Stato patrimoniale'!$AG:$AG,"",'Stato patrimoniale'!$F:$F,$A23,'Stato patrimoniale'!$B:$B,1)</f>
        <v>0</v>
      </c>
      <c r="C23" s="61">
        <f>SUMIFS('Stato patrimoniale'!AD:AD,'Stato patrimoniale'!$AG:$AG,"",'Stato patrimoniale'!$F:$F,$A23,'Stato patrimoniale'!$B:$B,1)</f>
        <v>0</v>
      </c>
      <c r="D23" s="61">
        <f t="shared" si="2"/>
        <v>0</v>
      </c>
      <c r="E23" s="62" t="str">
        <f t="shared" si="3"/>
        <v/>
      </c>
      <c r="O23" t="s">
        <v>324</v>
      </c>
      <c r="P23" s="61">
        <f>SUMIFS('Stato patrimoniale'!W:W,'Stato patrimoniale'!$AG:$AG,"&gt;0",'Stato patrimoniale'!$F:$F,$O23,'Stato patrimoniale'!$B:$B,1)</f>
        <v>0</v>
      </c>
      <c r="Q23" s="61">
        <f>SUMIFS('Stato patrimoniale'!AP:AP,'Stato patrimoniale'!$AG:$AG,"&gt;0",'Stato patrimoniale'!$F:$F,$O23,'Stato patrimoniale'!$B:$B,1)</f>
        <v>0</v>
      </c>
      <c r="R23" s="61">
        <f t="shared" si="10"/>
        <v>0</v>
      </c>
      <c r="S23" s="62" t="str">
        <f t="shared" si="11"/>
        <v/>
      </c>
    </row>
  </sheetData>
  <sortState xmlns:xlrd2="http://schemas.microsoft.com/office/spreadsheetml/2017/richdata2" ref="A7:E23">
    <sortCondition descending="1" ref="C7:C23"/>
  </sortState>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CC5C-2CB5-471B-8331-56A6C05CFD5D}">
  <sheetPr codeName="Sheet9"/>
  <dimension ref="A1:S23"/>
  <sheetViews>
    <sheetView workbookViewId="0">
      <selection activeCell="R4" sqref="R4:R5"/>
    </sheetView>
  </sheetViews>
  <sheetFormatPr defaultRowHeight="15" x14ac:dyDescent="0.25"/>
  <cols>
    <col min="1" max="1" width="18.28515625" bestFit="1" customWidth="1"/>
    <col min="2" max="2" width="8" style="61" bestFit="1" customWidth="1"/>
    <col min="3" max="3" width="8" bestFit="1" customWidth="1"/>
    <col min="4" max="4" width="8.7109375" bestFit="1" customWidth="1"/>
    <col min="5" max="5" width="12" bestFit="1" customWidth="1"/>
    <col min="15" max="15" width="17.2851562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275</v>
      </c>
      <c r="B2" s="63" t="s">
        <v>281</v>
      </c>
      <c r="C2" s="9" t="s">
        <v>282</v>
      </c>
      <c r="D2" s="9" t="s">
        <v>14</v>
      </c>
      <c r="E2" s="9" t="s">
        <v>20</v>
      </c>
      <c r="O2" s="9" t="s">
        <v>275</v>
      </c>
      <c r="P2" s="63" t="s">
        <v>281</v>
      </c>
      <c r="Q2" s="9" t="s">
        <v>284</v>
      </c>
      <c r="R2" s="9" t="s">
        <v>285</v>
      </c>
      <c r="S2" s="9" t="s">
        <v>283</v>
      </c>
    </row>
    <row r="3" spans="1:19" s="9" customFormat="1" x14ac:dyDescent="0.25">
      <c r="A3" t="s">
        <v>351</v>
      </c>
      <c r="B3">
        <f>SUMIFS('Stato patrimoniale'!W:W,'Stato patrimoniale'!$AG:$AG,"",'Stato patrimoniale'!$F:$F,$A3,'Stato patrimoniale'!$B:$B,1,'Stato patrimoniale'!$E:$E,"Azioni")</f>
        <v>39076.925864000004</v>
      </c>
      <c r="C3">
        <f ca="1">SUMIFS('Stato patrimoniale'!AD:AD,'Stato patrimoniale'!$AG:$AG,"",'Stato patrimoniale'!$F:$F,$A3,'Stato patrimoniale'!$B:$B,1,'Stato patrimoniale'!$E:$E,"Azioni")</f>
        <v>52019.200098415815</v>
      </c>
      <c r="D3">
        <f t="shared" ref="D3:D6" ca="1" si="0">C3-B3</f>
        <v>12942.27423441581</v>
      </c>
      <c r="E3" s="62">
        <f t="shared" ref="E3:E6" ca="1" si="1">IF(B3=0,"",D3/B3)</f>
        <v>0.33119990757356393</v>
      </c>
      <c r="O3" t="s">
        <v>351</v>
      </c>
      <c r="P3" s="61">
        <f>SUMIFS('Stato patrimoniale'!W:W,'Stato patrimoniale'!$AG:$AG,"&gt;0",'Stato patrimoniale'!$F:$F,$O3,'Stato patrimoniale'!$B:$B,1,'Stato patrimoniale'!$E:$E,"Azioni")</f>
        <v>1052.9000000000001</v>
      </c>
      <c r="Q3" s="61">
        <f>SUMIFS('Stato patrimoniale'!AP:AP,'Stato patrimoniale'!$AG:$AG,"&gt;0",'Stato patrimoniale'!$F:$F,$O3,'Stato patrimoniale'!$B:$B,1,'Stato patrimoniale'!$E:$E,"Azioni")</f>
        <v>1505.4829168000001</v>
      </c>
      <c r="R3" s="61">
        <f t="shared" ref="R3:R6" si="2">Q3-P3</f>
        <v>452.58291680000002</v>
      </c>
      <c r="S3" s="62">
        <f t="shared" ref="S3:S6" si="3">IF(P3=0,"",R3/P3)</f>
        <v>0.4298441606990217</v>
      </c>
    </row>
    <row r="4" spans="1:19" s="9" customFormat="1" x14ac:dyDescent="0.25">
      <c r="A4" t="s">
        <v>413</v>
      </c>
      <c r="B4">
        <f>SUMIFS('Stato patrimoniale'!W:W,'Stato patrimoniale'!$AG:$AG,"",'Stato patrimoniale'!$F:$F,$A4,'Stato patrimoniale'!$B:$B,1,'Stato patrimoniale'!$E:$E,"Azioni")</f>
        <v>1000.9399999999999</v>
      </c>
      <c r="C4">
        <f ca="1">SUMIFS('Stato patrimoniale'!AD:AD,'Stato patrimoniale'!$AG:$AG,"",'Stato patrimoniale'!$F:$F,$A4,'Stato patrimoniale'!$B:$B,1,'Stato patrimoniale'!$E:$E,"Azioni")</f>
        <v>1602.380003031564</v>
      </c>
      <c r="D4">
        <f t="shared" ca="1" si="0"/>
        <v>601.44000303156406</v>
      </c>
      <c r="E4" s="62">
        <f t="shared" ca="1" si="1"/>
        <v>0.60087518036202381</v>
      </c>
      <c r="O4" t="s">
        <v>413</v>
      </c>
      <c r="P4" s="61">
        <f>SUMIFS('Stato patrimoniale'!W:W,'Stato patrimoniale'!$AG:$AG,"&gt;0",'Stato patrimoniale'!$F:$F,$O4,'Stato patrimoniale'!$B:$B,1,'Stato patrimoniale'!$E:$E,"Azioni")</f>
        <v>0</v>
      </c>
      <c r="Q4" s="61">
        <f>SUMIFS('Stato patrimoniale'!AP:AP,'Stato patrimoniale'!$AG:$AG,"&gt;0",'Stato patrimoniale'!$F:$F,$O4,'Stato patrimoniale'!$B:$B,1,'Stato patrimoniale'!$E:$E,"Azioni")</f>
        <v>0</v>
      </c>
      <c r="R4" s="61">
        <f t="shared" si="2"/>
        <v>0</v>
      </c>
      <c r="S4" s="62" t="str">
        <f t="shared" si="3"/>
        <v/>
      </c>
    </row>
    <row r="5" spans="1:19" s="9" customFormat="1" x14ac:dyDescent="0.25">
      <c r="A5" t="s">
        <v>607</v>
      </c>
      <c r="B5">
        <f>SUMIFS('Stato patrimoniale'!W:W,'Stato patrimoniale'!$AG:$AG,"",'Stato patrimoniale'!$F:$F,$A5,'Stato patrimoniale'!$B:$B,1,'Stato patrimoniale'!$E:$E,"Azioni")</f>
        <v>10014.140000000001</v>
      </c>
      <c r="C5">
        <f ca="1">SUMIFS('Stato patrimoniale'!AD:AD,'Stato patrimoniale'!$AG:$AG,"",'Stato patrimoniale'!$F:$F,$A5,'Stato patrimoniale'!$B:$B,1,'Stato patrimoniale'!$E:$E,"Azioni")</f>
        <v>11291.640021362802</v>
      </c>
      <c r="D5">
        <f t="shared" ca="1" si="0"/>
        <v>1277.5000213628009</v>
      </c>
      <c r="E5" s="62">
        <f t="shared" ca="1" si="1"/>
        <v>0.12756961869544473</v>
      </c>
      <c r="O5" t="s">
        <v>607</v>
      </c>
      <c r="P5" s="61">
        <f>SUMIFS('Stato patrimoniale'!W:W,'Stato patrimoniale'!$AG:$AG,"&gt;0",'Stato patrimoniale'!$F:$F,$O5,'Stato patrimoniale'!$B:$B,1,'Stato patrimoniale'!$E:$E,"Azioni")</f>
        <v>0</v>
      </c>
      <c r="Q5" s="61">
        <f>SUMIFS('Stato patrimoniale'!AP:AP,'Stato patrimoniale'!$AG:$AG,"&gt;0",'Stato patrimoniale'!$F:$F,$O5,'Stato patrimoniale'!$B:$B,1,'Stato patrimoniale'!$E:$E,"Azioni")</f>
        <v>0</v>
      </c>
      <c r="R5" s="61">
        <f t="shared" si="2"/>
        <v>0</v>
      </c>
      <c r="S5" s="62"/>
    </row>
    <row r="6" spans="1:19" s="9" customFormat="1" x14ac:dyDescent="0.25">
      <c r="A6" t="s">
        <v>414</v>
      </c>
      <c r="B6">
        <f>SUMIFS('Stato patrimoniale'!W:W,'Stato patrimoniale'!$AG:$AG,"",'Stato patrimoniale'!$F:$F,$A6,'Stato patrimoniale'!$B:$B,1,'Stato patrimoniale'!$E:$E,"Azioni")</f>
        <v>0</v>
      </c>
      <c r="C6">
        <f>SUMIFS('Stato patrimoniale'!AD:AD,'Stato patrimoniale'!$AG:$AG,"",'Stato patrimoniale'!$F:$F,$A6,'Stato patrimoniale'!$B:$B,1,'Stato patrimoniale'!$E:$E,"Azioni")</f>
        <v>0</v>
      </c>
      <c r="D6">
        <f t="shared" si="0"/>
        <v>0</v>
      </c>
      <c r="E6" s="62" t="str">
        <f t="shared" si="1"/>
        <v/>
      </c>
      <c r="O6" t="s">
        <v>414</v>
      </c>
      <c r="P6" s="61">
        <f>SUMIFS('Stato patrimoniale'!W:W,'Stato patrimoniale'!$AG:$AG,"&gt;0",'Stato patrimoniale'!$F:$F,$O6,'Stato patrimoniale'!$B:$B,1,'Stato patrimoniale'!$E:$E,"Azioni")</f>
        <v>516.05000000000007</v>
      </c>
      <c r="Q6" s="61">
        <f>SUMIFS('Stato patrimoniale'!AP:AP,'Stato patrimoniale'!$AG:$AG,"&gt;0",'Stato patrimoniale'!$F:$F,$O6,'Stato patrimoniale'!$B:$B,1,'Stato patrimoniale'!$E:$E,"Azioni")</f>
        <v>661.58799999999997</v>
      </c>
      <c r="R6" s="61">
        <f t="shared" si="2"/>
        <v>145.5379999999999</v>
      </c>
      <c r="S6" s="62">
        <f t="shared" si="3"/>
        <v>0.28202305978102871</v>
      </c>
    </row>
    <row r="7" spans="1:19" x14ac:dyDescent="0.25">
      <c r="A7" t="s">
        <v>307</v>
      </c>
      <c r="B7" s="61">
        <f>SUMIFS('Stato patrimoniale'!W:W,'Stato patrimoniale'!$AG:$AG,"",'Stato patrimoniale'!$F:$F,$A7,'Stato patrimoniale'!$B:$B,1,'Stato patrimoniale'!$E:$E,"Azioni")</f>
        <v>25282.089479679998</v>
      </c>
      <c r="C7" s="61">
        <f ca="1">SUMIFS('Stato patrimoniale'!AD:AD,'Stato patrimoniale'!$AG:$AG,"",'Stato patrimoniale'!$F:$F,$A7,'Stato patrimoniale'!$B:$B,1,'Stato patrimoniale'!$E:$E,"Azioni")</f>
        <v>37161.269474515997</v>
      </c>
      <c r="D7" s="61">
        <f t="shared" ref="D7:D23" ca="1" si="4">C7-B7</f>
        <v>11879.179994835999</v>
      </c>
      <c r="E7" s="62">
        <f t="shared" ref="E7:E23" ca="1" si="5">IF(B7=0,"",D7/B7)</f>
        <v>0.46986543593968627</v>
      </c>
      <c r="O7" t="s">
        <v>307</v>
      </c>
      <c r="P7" s="61">
        <f>SUMIFS('Stato patrimoniale'!W:W,'Stato patrimoniale'!$AG:$AG,"&gt;0",'Stato patrimoniale'!$F:$F,$O7,'Stato patrimoniale'!$B:$B,1,'Stato patrimoniale'!$E:$E,"Azioni")</f>
        <v>5229.0328562469804</v>
      </c>
      <c r="Q7" s="61">
        <f>SUMIFS('Stato patrimoniale'!AP:AP,'Stato patrimoniale'!$AG:$AG,"&gt;0",'Stato patrimoniale'!$F:$F,$O7,'Stato patrimoniale'!$B:$B,1,'Stato patrimoniale'!$E:$E,"Azioni")</f>
        <v>10769.92721376</v>
      </c>
      <c r="R7" s="61">
        <f>Q7-P7</f>
        <v>5540.8943575130197</v>
      </c>
      <c r="S7" s="62">
        <f>IF(P7=0,"",R7/P7)</f>
        <v>1.059640378983939</v>
      </c>
    </row>
    <row r="8" spans="1:19" x14ac:dyDescent="0.25">
      <c r="A8" t="s">
        <v>306</v>
      </c>
      <c r="B8" s="61">
        <f>SUMIFS('Stato patrimoniale'!W:W,'Stato patrimoniale'!$AG:$AG,"",'Stato patrimoniale'!$F:$F,$A8,'Stato patrimoniale'!$B:$B,1,'Stato patrimoniale'!$E:$E,"Azioni")</f>
        <v>10800.95</v>
      </c>
      <c r="C8" s="61">
        <f ca="1">SUMIFS('Stato patrimoniale'!AD:AD,'Stato patrimoniale'!$AG:$AG,"",'Stato patrimoniale'!$F:$F,$A8,'Stato patrimoniale'!$B:$B,1,'Stato patrimoniale'!$E:$E,"Azioni")</f>
        <v>12379.240023420447</v>
      </c>
      <c r="D8" s="61">
        <f t="shared" ca="1" si="4"/>
        <v>1578.2900234204462</v>
      </c>
      <c r="E8" s="62">
        <f t="shared" ca="1" si="5"/>
        <v>0.14612511153374899</v>
      </c>
      <c r="O8" t="s">
        <v>306</v>
      </c>
      <c r="P8" s="61">
        <f>SUMIFS('Stato patrimoniale'!W:W,'Stato patrimoniale'!$AG:$AG,"&gt;0",'Stato patrimoniale'!$F:$F,$O8,'Stato patrimoniale'!$B:$B,1,'Stato patrimoniale'!$E:$E,"Azioni")</f>
        <v>0</v>
      </c>
      <c r="Q8" s="61">
        <f>SUMIFS('Stato patrimoniale'!AP:AP,'Stato patrimoniale'!$AG:$AG,"&gt;0",'Stato patrimoniale'!$F:$F,$O8,'Stato patrimoniale'!$B:$B,1,'Stato patrimoniale'!$E:$E,"Azioni")</f>
        <v>0</v>
      </c>
      <c r="R8" s="61">
        <f t="shared" ref="R8:R23" si="6">Q8-P8</f>
        <v>0</v>
      </c>
      <c r="S8" s="62" t="str">
        <f t="shared" ref="S8:S23" si="7">IF(P8=0,"",R8/P8)</f>
        <v/>
      </c>
    </row>
    <row r="9" spans="1:19" x14ac:dyDescent="0.25">
      <c r="A9" t="s">
        <v>308</v>
      </c>
      <c r="B9" s="61">
        <f>SUMIFS('Stato patrimoniale'!W:W,'Stato patrimoniale'!$AG:$AG,"",'Stato patrimoniale'!$F:$F,$A9,'Stato patrimoniale'!$B:$B,1,'Stato patrimoniale'!$E:$E,"Azioni")</f>
        <v>0</v>
      </c>
      <c r="C9" s="61">
        <f>SUMIFS('Stato patrimoniale'!AD:AD,'Stato patrimoniale'!$AG:$AG,"",'Stato patrimoniale'!$F:$F,$A9,'Stato patrimoniale'!$B:$B,1,'Stato patrimoniale'!$E:$E,"Azioni")</f>
        <v>0</v>
      </c>
      <c r="D9" s="61">
        <f t="shared" si="4"/>
        <v>0</v>
      </c>
      <c r="E9" s="62" t="str">
        <f t="shared" si="5"/>
        <v/>
      </c>
      <c r="O9" t="s">
        <v>308</v>
      </c>
      <c r="P9" s="61">
        <f>SUMIFS('Stato patrimoniale'!W:W,'Stato patrimoniale'!$AG:$AG,"&gt;0",'Stato patrimoniale'!$F:$F,$O9,'Stato patrimoniale'!$B:$B,1,'Stato patrimoniale'!$E:$E,"Azioni")</f>
        <v>0</v>
      </c>
      <c r="Q9" s="61">
        <f>SUMIFS('Stato patrimoniale'!AP:AP,'Stato patrimoniale'!$AG:$AG,"&gt;0",'Stato patrimoniale'!$F:$F,$O9,'Stato patrimoniale'!$B:$B,1,'Stato patrimoniale'!$E:$E,"Azioni")</f>
        <v>0</v>
      </c>
      <c r="R9" s="61">
        <f t="shared" si="6"/>
        <v>0</v>
      </c>
      <c r="S9" s="62" t="str">
        <f t="shared" si="7"/>
        <v/>
      </c>
    </row>
    <row r="10" spans="1:19" x14ac:dyDescent="0.25">
      <c r="A10" t="s">
        <v>316</v>
      </c>
      <c r="B10" s="61">
        <f>SUMIFS('Stato patrimoniale'!W:W,'Stato patrimoniale'!$AG:$AG,"",'Stato patrimoniale'!$F:$F,$A10,'Stato patrimoniale'!$B:$B,1,'Stato patrimoniale'!$E:$E,"Azioni")</f>
        <v>0</v>
      </c>
      <c r="C10" s="61">
        <f>SUMIFS('Stato patrimoniale'!AD:AD,'Stato patrimoniale'!$AG:$AG,"",'Stato patrimoniale'!$F:$F,$A10,'Stato patrimoniale'!$B:$B,1,'Stato patrimoniale'!$E:$E,"Azioni")</f>
        <v>0</v>
      </c>
      <c r="D10" s="61">
        <f t="shared" si="4"/>
        <v>0</v>
      </c>
      <c r="E10" s="62" t="str">
        <f t="shared" si="5"/>
        <v/>
      </c>
      <c r="O10" t="s">
        <v>316</v>
      </c>
      <c r="P10" s="61">
        <f>SUMIFS('Stato patrimoniale'!W:W,'Stato patrimoniale'!$AG:$AG,"&gt;0",'Stato patrimoniale'!$F:$F,$O10,'Stato patrimoniale'!$B:$B,1,'Stato patrimoniale'!$E:$E,"Azioni")</f>
        <v>0</v>
      </c>
      <c r="Q10" s="61">
        <f>SUMIFS('Stato patrimoniale'!AP:AP,'Stato patrimoniale'!$AG:$AG,"&gt;0",'Stato patrimoniale'!$F:$F,$O10,'Stato patrimoniale'!$B:$B,1,'Stato patrimoniale'!$E:$E,"Azioni")</f>
        <v>0</v>
      </c>
      <c r="R10" s="61">
        <f t="shared" si="6"/>
        <v>0</v>
      </c>
      <c r="S10" s="62" t="str">
        <f t="shared" si="7"/>
        <v/>
      </c>
    </row>
    <row r="11" spans="1:19" x14ac:dyDescent="0.25">
      <c r="A11" t="s">
        <v>309</v>
      </c>
      <c r="B11" s="61">
        <f>SUMIFS('Stato patrimoniale'!W:W,'Stato patrimoniale'!$AG:$AG,"",'Stato patrimoniale'!$F:$F,$A11,'Stato patrimoniale'!$B:$B,1,'Stato patrimoniale'!$E:$E,"Azioni")</f>
        <v>0</v>
      </c>
      <c r="C11" s="61">
        <f>SUMIFS('Stato patrimoniale'!AD:AD,'Stato patrimoniale'!$AG:$AG,"",'Stato patrimoniale'!$F:$F,$A11,'Stato patrimoniale'!$B:$B,1,'Stato patrimoniale'!$E:$E,"Azioni")</f>
        <v>0</v>
      </c>
      <c r="D11" s="61">
        <f t="shared" si="4"/>
        <v>0</v>
      </c>
      <c r="E11" s="62" t="str">
        <f t="shared" si="5"/>
        <v/>
      </c>
      <c r="O11" t="s">
        <v>309</v>
      </c>
      <c r="P11" s="61">
        <f>SUMIFS('Stato patrimoniale'!W:W,'Stato patrimoniale'!$AG:$AG,"&gt;0",'Stato patrimoniale'!$F:$F,$O11,'Stato patrimoniale'!$B:$B,1,'Stato patrimoniale'!$E:$E,"Azioni")</f>
        <v>0</v>
      </c>
      <c r="Q11" s="61">
        <f>SUMIFS('Stato patrimoniale'!AP:AP,'Stato patrimoniale'!$AG:$AG,"&gt;0",'Stato patrimoniale'!$F:$F,$O11,'Stato patrimoniale'!$B:$B,1,'Stato patrimoniale'!$E:$E,"Azioni")</f>
        <v>0</v>
      </c>
      <c r="R11" s="61">
        <f t="shared" si="6"/>
        <v>0</v>
      </c>
      <c r="S11" s="62" t="str">
        <f t="shared" si="7"/>
        <v/>
      </c>
    </row>
    <row r="12" spans="1:19" x14ac:dyDescent="0.25">
      <c r="A12" t="s">
        <v>313</v>
      </c>
      <c r="B12" s="61">
        <f>SUMIFS('Stato patrimoniale'!W:W,'Stato patrimoniale'!$AG:$AG,"",'Stato patrimoniale'!$F:$F,$A12,'Stato patrimoniale'!$B:$B,1,'Stato patrimoniale'!$E:$E,"Azioni")</f>
        <v>0</v>
      </c>
      <c r="C12" s="61">
        <f>SUMIFS('Stato patrimoniale'!AD:AD,'Stato patrimoniale'!$AG:$AG,"",'Stato patrimoniale'!$F:$F,$A12,'Stato patrimoniale'!$B:$B,1,'Stato patrimoniale'!$E:$E,"Azioni")</f>
        <v>0</v>
      </c>
      <c r="D12" s="61">
        <f t="shared" si="4"/>
        <v>0</v>
      </c>
      <c r="E12" s="62" t="str">
        <f t="shared" si="5"/>
        <v/>
      </c>
      <c r="O12" t="s">
        <v>313</v>
      </c>
      <c r="P12" s="61">
        <f>SUMIFS('Stato patrimoniale'!W:W,'Stato patrimoniale'!$AG:$AG,"&gt;0",'Stato patrimoniale'!$F:$F,$O12,'Stato patrimoniale'!$B:$B,1,'Stato patrimoniale'!$E:$E,"Azioni")</f>
        <v>0</v>
      </c>
      <c r="Q12" s="61">
        <f>SUMIFS('Stato patrimoniale'!AP:AP,'Stato patrimoniale'!$AG:$AG,"&gt;0",'Stato patrimoniale'!$F:$F,$O12,'Stato patrimoniale'!$B:$B,1,'Stato patrimoniale'!$E:$E,"Azioni")</f>
        <v>0</v>
      </c>
      <c r="R12" s="61">
        <f t="shared" si="6"/>
        <v>0</v>
      </c>
      <c r="S12" s="62" t="str">
        <f t="shared" si="7"/>
        <v/>
      </c>
    </row>
    <row r="13" spans="1:19" x14ac:dyDescent="0.25">
      <c r="A13" t="s">
        <v>310</v>
      </c>
      <c r="B13" s="61">
        <f>SUMIFS('Stato patrimoniale'!W:W,'Stato patrimoniale'!$AG:$AG,"",'Stato patrimoniale'!$F:$F,$A13,'Stato patrimoniale'!$B:$B,1,'Stato patrimoniale'!$E:$E,"Azioni")</f>
        <v>0</v>
      </c>
      <c r="C13" s="61">
        <f>SUMIFS('Stato patrimoniale'!AD:AD,'Stato patrimoniale'!$AG:$AG,"",'Stato patrimoniale'!$F:$F,$A13,'Stato patrimoniale'!$B:$B,1,'Stato patrimoniale'!$E:$E,"Azioni")</f>
        <v>0</v>
      </c>
      <c r="D13" s="61">
        <f t="shared" si="4"/>
        <v>0</v>
      </c>
      <c r="E13" s="62" t="str">
        <f t="shared" si="5"/>
        <v/>
      </c>
      <c r="O13" t="s">
        <v>310</v>
      </c>
      <c r="P13" s="61">
        <f>SUMIFS('Stato patrimoniale'!W:W,'Stato patrimoniale'!$AG:$AG,"&gt;0",'Stato patrimoniale'!$F:$F,$O13,'Stato patrimoniale'!$B:$B,1,'Stato patrimoniale'!$E:$E,"Azioni")</f>
        <v>0</v>
      </c>
      <c r="Q13" s="61">
        <f>SUMIFS('Stato patrimoniale'!AP:AP,'Stato patrimoniale'!$AG:$AG,"&gt;0",'Stato patrimoniale'!$F:$F,$O13,'Stato patrimoniale'!$B:$B,1,'Stato patrimoniale'!$E:$E,"Azioni")</f>
        <v>0</v>
      </c>
      <c r="R13" s="61">
        <f t="shared" si="6"/>
        <v>0</v>
      </c>
      <c r="S13" s="62" t="str">
        <f t="shared" si="7"/>
        <v/>
      </c>
    </row>
    <row r="14" spans="1:19" x14ac:dyDescent="0.25">
      <c r="A14" t="s">
        <v>319</v>
      </c>
      <c r="B14" s="61">
        <f>SUMIFS('Stato patrimoniale'!W:W,'Stato patrimoniale'!$AG:$AG,"",'Stato patrimoniale'!$F:$F,$A14,'Stato patrimoniale'!$B:$B,1,'Stato patrimoniale'!$E:$E,"Azioni")</f>
        <v>0</v>
      </c>
      <c r="C14" s="61">
        <f>SUMIFS('Stato patrimoniale'!AD:AD,'Stato patrimoniale'!$AG:$AG,"",'Stato patrimoniale'!$F:$F,$A14,'Stato patrimoniale'!$B:$B,1,'Stato patrimoniale'!$E:$E,"Azioni")</f>
        <v>0</v>
      </c>
      <c r="D14" s="61">
        <f t="shared" si="4"/>
        <v>0</v>
      </c>
      <c r="E14" s="62" t="str">
        <f t="shared" si="5"/>
        <v/>
      </c>
      <c r="O14" t="s">
        <v>319</v>
      </c>
      <c r="P14" s="61">
        <f>SUMIFS('Stato patrimoniale'!W:W,'Stato patrimoniale'!$AG:$AG,"&gt;0",'Stato patrimoniale'!$F:$F,$O14,'Stato patrimoniale'!$B:$B,1,'Stato patrimoniale'!$E:$E,"Azioni")</f>
        <v>0</v>
      </c>
      <c r="Q14" s="61">
        <f>SUMIFS('Stato patrimoniale'!AP:AP,'Stato patrimoniale'!$AG:$AG,"&gt;0",'Stato patrimoniale'!$F:$F,$O14,'Stato patrimoniale'!$B:$B,1,'Stato patrimoniale'!$E:$E,"Azioni")</f>
        <v>0</v>
      </c>
      <c r="R14" s="61">
        <f t="shared" si="6"/>
        <v>0</v>
      </c>
      <c r="S14" s="62" t="str">
        <f t="shared" si="7"/>
        <v/>
      </c>
    </row>
    <row r="15" spans="1:19" x14ac:dyDescent="0.25">
      <c r="A15" t="s">
        <v>312</v>
      </c>
      <c r="B15" s="61">
        <f>SUMIFS('Stato patrimoniale'!W:W,'Stato patrimoniale'!$AG:$AG,"",'Stato patrimoniale'!$F:$F,$A15,'Stato patrimoniale'!$B:$B,1,'Stato patrimoniale'!$E:$E,"Azioni")</f>
        <v>0</v>
      </c>
      <c r="C15" s="61">
        <f>SUMIFS('Stato patrimoniale'!AD:AD,'Stato patrimoniale'!$AG:$AG,"",'Stato patrimoniale'!$F:$F,$A15,'Stato patrimoniale'!$B:$B,1,'Stato patrimoniale'!$E:$E,"Azioni")</f>
        <v>0</v>
      </c>
      <c r="D15" s="61">
        <f t="shared" si="4"/>
        <v>0</v>
      </c>
      <c r="E15" s="62" t="str">
        <f t="shared" si="5"/>
        <v/>
      </c>
      <c r="O15" t="s">
        <v>312</v>
      </c>
      <c r="P15" s="61">
        <f>SUMIFS('Stato patrimoniale'!W:W,'Stato patrimoniale'!$AG:$AG,"&gt;0",'Stato patrimoniale'!$F:$F,$O15,'Stato patrimoniale'!$B:$B,1,'Stato patrimoniale'!$E:$E,"Azioni")</f>
        <v>0</v>
      </c>
      <c r="Q15" s="61">
        <f>SUMIFS('Stato patrimoniale'!AP:AP,'Stato patrimoniale'!$AG:$AG,"&gt;0",'Stato patrimoniale'!$F:$F,$O15,'Stato patrimoniale'!$B:$B,1,'Stato patrimoniale'!$E:$E,"Azioni")</f>
        <v>0</v>
      </c>
      <c r="R15" s="61">
        <f t="shared" si="6"/>
        <v>0</v>
      </c>
      <c r="S15" s="62" t="str">
        <f t="shared" si="7"/>
        <v/>
      </c>
    </row>
    <row r="16" spans="1:19" x14ac:dyDescent="0.25">
      <c r="A16" t="s">
        <v>314</v>
      </c>
      <c r="B16" s="61">
        <f>SUMIFS('Stato patrimoniale'!W:W,'Stato patrimoniale'!$AG:$AG,"",'Stato patrimoniale'!$F:$F,$A16,'Stato patrimoniale'!$B:$B,1,'Stato patrimoniale'!$E:$E,"Azioni")</f>
        <v>0</v>
      </c>
      <c r="C16" s="61">
        <f>SUMIFS('Stato patrimoniale'!AD:AD,'Stato patrimoniale'!$AG:$AG,"",'Stato patrimoniale'!$F:$F,$A16,'Stato patrimoniale'!$B:$B,1,'Stato patrimoniale'!$E:$E,"Azioni")</f>
        <v>0</v>
      </c>
      <c r="D16" s="61">
        <f t="shared" si="4"/>
        <v>0</v>
      </c>
      <c r="E16" s="62" t="str">
        <f t="shared" si="5"/>
        <v/>
      </c>
      <c r="O16" t="s">
        <v>314</v>
      </c>
      <c r="P16" s="61">
        <f>SUMIFS('Stato patrimoniale'!W:W,'Stato patrimoniale'!$AG:$AG,"&gt;0",'Stato patrimoniale'!$F:$F,$O16,'Stato patrimoniale'!$B:$B,1,'Stato patrimoniale'!$E:$E,"Azioni")</f>
        <v>0</v>
      </c>
      <c r="Q16" s="61">
        <f>SUMIFS('Stato patrimoniale'!AP:AP,'Stato patrimoniale'!$AG:$AG,"&gt;0",'Stato patrimoniale'!$F:$F,$O16,'Stato patrimoniale'!$B:$B,1,'Stato patrimoniale'!$E:$E,"Azioni")</f>
        <v>0</v>
      </c>
      <c r="R16" s="61">
        <f t="shared" si="6"/>
        <v>0</v>
      </c>
      <c r="S16" s="62" t="str">
        <f t="shared" si="7"/>
        <v/>
      </c>
    </row>
    <row r="17" spans="1:19" x14ac:dyDescent="0.25">
      <c r="A17" t="s">
        <v>318</v>
      </c>
      <c r="B17" s="61">
        <f>SUMIFS('Stato patrimoniale'!W:W,'Stato patrimoniale'!$AG:$AG,"",'Stato patrimoniale'!$F:$F,$A17,'Stato patrimoniale'!$B:$B,1,'Stato patrimoniale'!$E:$E,"Azioni")</f>
        <v>0</v>
      </c>
      <c r="C17" s="61">
        <f>SUMIFS('Stato patrimoniale'!AD:AD,'Stato patrimoniale'!$AG:$AG,"",'Stato patrimoniale'!$F:$F,$A17,'Stato patrimoniale'!$B:$B,1,'Stato patrimoniale'!$E:$E,"Azioni")</f>
        <v>0</v>
      </c>
      <c r="D17" s="61">
        <f t="shared" si="4"/>
        <v>0</v>
      </c>
      <c r="E17" s="62" t="str">
        <f t="shared" si="5"/>
        <v/>
      </c>
      <c r="O17" t="s">
        <v>318</v>
      </c>
      <c r="P17" s="61">
        <f>SUMIFS('Stato patrimoniale'!W:W,'Stato patrimoniale'!$AG:$AG,"&gt;0",'Stato patrimoniale'!$F:$F,$O17,'Stato patrimoniale'!$B:$B,1,'Stato patrimoniale'!$E:$E,"Azioni")</f>
        <v>0</v>
      </c>
      <c r="Q17" s="61">
        <f>SUMIFS('Stato patrimoniale'!AP:AP,'Stato patrimoniale'!$AG:$AG,"&gt;0",'Stato patrimoniale'!$F:$F,$O17,'Stato patrimoniale'!$B:$B,1,'Stato patrimoniale'!$E:$E,"Azioni")</f>
        <v>0</v>
      </c>
      <c r="R17" s="61">
        <f t="shared" si="6"/>
        <v>0</v>
      </c>
      <c r="S17" s="62" t="str">
        <f t="shared" si="7"/>
        <v/>
      </c>
    </row>
    <row r="18" spans="1:19" x14ac:dyDescent="0.25">
      <c r="A18" t="s">
        <v>315</v>
      </c>
      <c r="B18" s="61">
        <f>SUMIFS('Stato patrimoniale'!W:W,'Stato patrimoniale'!$AG:$AG,"",'Stato patrimoniale'!$F:$F,$A18,'Stato patrimoniale'!$B:$B,1,'Stato patrimoniale'!$E:$E,"Azioni")</f>
        <v>0</v>
      </c>
      <c r="C18" s="61">
        <f>SUMIFS('Stato patrimoniale'!AD:AD,'Stato patrimoniale'!$AG:$AG,"",'Stato patrimoniale'!$F:$F,$A18,'Stato patrimoniale'!$B:$B,1,'Stato patrimoniale'!$E:$E,"Azioni")</f>
        <v>0</v>
      </c>
      <c r="D18" s="61">
        <f t="shared" si="4"/>
        <v>0</v>
      </c>
      <c r="E18" s="62" t="str">
        <f t="shared" si="5"/>
        <v/>
      </c>
      <c r="O18" t="s">
        <v>315</v>
      </c>
      <c r="P18" s="61">
        <f>SUMIFS('Stato patrimoniale'!W:W,'Stato patrimoniale'!$AG:$AG,"&gt;0",'Stato patrimoniale'!$F:$F,$O18,'Stato patrimoniale'!$B:$B,1,'Stato patrimoniale'!$E:$E,"Azioni")</f>
        <v>0</v>
      </c>
      <c r="Q18" s="61">
        <f>SUMIFS('Stato patrimoniale'!AP:AP,'Stato patrimoniale'!$AG:$AG,"&gt;0",'Stato patrimoniale'!$F:$F,$O18,'Stato patrimoniale'!$B:$B,1,'Stato patrimoniale'!$E:$E,"Azioni")</f>
        <v>0</v>
      </c>
      <c r="R18" s="61">
        <f t="shared" si="6"/>
        <v>0</v>
      </c>
      <c r="S18" s="62" t="str">
        <f t="shared" si="7"/>
        <v/>
      </c>
    </row>
    <row r="19" spans="1:19" x14ac:dyDescent="0.25">
      <c r="A19" t="s">
        <v>317</v>
      </c>
      <c r="B19" s="61">
        <f>SUMIFS('Stato patrimoniale'!W:W,'Stato patrimoniale'!$AG:$AG,"",'Stato patrimoniale'!$F:$F,$A19,'Stato patrimoniale'!$B:$B,1,'Stato patrimoniale'!$E:$E,"Azioni")</f>
        <v>0</v>
      </c>
      <c r="C19" s="61">
        <f>SUMIFS('Stato patrimoniale'!AD:AD,'Stato patrimoniale'!$AG:$AG,"",'Stato patrimoniale'!$F:$F,$A19,'Stato patrimoniale'!$B:$B,1,'Stato patrimoniale'!$E:$E,"Azioni")</f>
        <v>0</v>
      </c>
      <c r="D19" s="61">
        <f t="shared" si="4"/>
        <v>0</v>
      </c>
      <c r="E19" s="62" t="str">
        <f t="shared" si="5"/>
        <v/>
      </c>
      <c r="O19" t="s">
        <v>317</v>
      </c>
      <c r="P19" s="61">
        <f>SUMIFS('Stato patrimoniale'!W:W,'Stato patrimoniale'!$AG:$AG,"&gt;0",'Stato patrimoniale'!$F:$F,$O19,'Stato patrimoniale'!$B:$B,1,'Stato patrimoniale'!$E:$E,"Azioni")</f>
        <v>0</v>
      </c>
      <c r="Q19" s="61">
        <f>SUMIFS('Stato patrimoniale'!AP:AP,'Stato patrimoniale'!$AG:$AG,"&gt;0",'Stato patrimoniale'!$F:$F,$O19,'Stato patrimoniale'!$B:$B,1,'Stato patrimoniale'!$E:$E,"Azioni")</f>
        <v>0</v>
      </c>
      <c r="R19" s="61">
        <f t="shared" si="6"/>
        <v>0</v>
      </c>
      <c r="S19" s="62" t="str">
        <f t="shared" si="7"/>
        <v/>
      </c>
    </row>
    <row r="20" spans="1:19" x14ac:dyDescent="0.25">
      <c r="A20" t="s">
        <v>276</v>
      </c>
      <c r="B20" s="61">
        <f>SUMIFS('Stato patrimoniale'!W:W,'Stato patrimoniale'!$AG:$AG,"",'Stato patrimoniale'!$F:$F,$A20,'Stato patrimoniale'!$B:$B,1,'Stato patrimoniale'!$E:$E,"Azioni")</f>
        <v>517.51299999999992</v>
      </c>
      <c r="C20" s="61">
        <f ca="1">SUMIFS('Stato patrimoniale'!AD:AD,'Stato patrimoniale'!$AG:$AG,"",'Stato patrimoniale'!$F:$F,$A20,'Stato patrimoniale'!$B:$B,1,'Stato patrimoniale'!$E:$E,"Azioni")</f>
        <v>908.66200157973799</v>
      </c>
      <c r="D20" s="61">
        <f t="shared" ca="1" si="4"/>
        <v>391.14900157973807</v>
      </c>
      <c r="E20" s="62">
        <f t="shared" ca="1" si="5"/>
        <v>0.75582449441799171</v>
      </c>
      <c r="O20" t="s">
        <v>276</v>
      </c>
      <c r="P20" s="61">
        <f>SUMIFS('Stato patrimoniale'!W:W,'Stato patrimoniale'!$AG:$AG,"&gt;0",'Stato patrimoniale'!$F:$F,$O20,'Stato patrimoniale'!$B:$B,1,'Stato patrimoniale'!$E:$E,"Azioni")</f>
        <v>1483.422</v>
      </c>
      <c r="Q20" s="61">
        <f>SUMIFS('Stato patrimoniale'!AP:AP,'Stato patrimoniale'!$AG:$AG,"&gt;0",'Stato patrimoniale'!$F:$F,$O20,'Stato patrimoniale'!$B:$B,1,'Stato patrimoniale'!$E:$E,"Azioni")</f>
        <v>2419.2309999999998</v>
      </c>
      <c r="R20" s="61">
        <f t="shared" si="6"/>
        <v>935.80899999999974</v>
      </c>
      <c r="S20" s="62">
        <f t="shared" si="7"/>
        <v>0.63084476298720105</v>
      </c>
    </row>
    <row r="21" spans="1:19" x14ac:dyDescent="0.25">
      <c r="A21" t="s">
        <v>325</v>
      </c>
      <c r="B21" s="61">
        <f>SUMIFS('Stato patrimoniale'!W:W,'Stato patrimoniale'!$AG:$AG,"",'Stato patrimoniale'!$F:$F,$A21,'Stato patrimoniale'!$B:$B,1,'Stato patrimoniale'!$E:$E,"Azioni")</f>
        <v>0</v>
      </c>
      <c r="C21" s="61">
        <f>SUMIFS('Stato patrimoniale'!AD:AD,'Stato patrimoniale'!$AG:$AG,"",'Stato patrimoniale'!$F:$F,$A21,'Stato patrimoniale'!$B:$B,1,'Stato patrimoniale'!$E:$E,"Azioni")</f>
        <v>0</v>
      </c>
      <c r="D21" s="61">
        <f t="shared" si="4"/>
        <v>0</v>
      </c>
      <c r="E21" s="62" t="str">
        <f t="shared" si="5"/>
        <v/>
      </c>
      <c r="O21" t="s">
        <v>325</v>
      </c>
      <c r="P21" s="61">
        <f>SUMIFS('Stato patrimoniale'!W:W,'Stato patrimoniale'!$AG:$AG,"&gt;0",'Stato patrimoniale'!$F:$F,$O21,'Stato patrimoniale'!$B:$B,1,'Stato patrimoniale'!$E:$E,"Azioni")</f>
        <v>0</v>
      </c>
      <c r="Q21" s="61">
        <f>SUMIFS('Stato patrimoniale'!AP:AP,'Stato patrimoniale'!$AG:$AG,"&gt;0",'Stato patrimoniale'!$F:$F,$O21,'Stato patrimoniale'!$B:$B,1,'Stato patrimoniale'!$E:$E,"Azioni")</f>
        <v>0</v>
      </c>
      <c r="R21" s="61">
        <f t="shared" si="6"/>
        <v>0</v>
      </c>
      <c r="S21" s="62" t="str">
        <f t="shared" si="7"/>
        <v/>
      </c>
    </row>
    <row r="22" spans="1:19" x14ac:dyDescent="0.25">
      <c r="A22" t="s">
        <v>311</v>
      </c>
      <c r="B22" s="61">
        <f>SUMIFS('Stato patrimoniale'!W:W,'Stato patrimoniale'!$AG:$AG,"",'Stato patrimoniale'!$F:$F,$A22,'Stato patrimoniale'!$B:$B,1,'Stato patrimoniale'!$E:$E,"Azioni")</f>
        <v>0</v>
      </c>
      <c r="C22" s="61">
        <f>SUMIFS('Stato patrimoniale'!AD:AD,'Stato patrimoniale'!$AG:$AG,"",'Stato patrimoniale'!$F:$F,$A22,'Stato patrimoniale'!$B:$B,1,'Stato patrimoniale'!$E:$E,"Azioni")</f>
        <v>0</v>
      </c>
      <c r="D22" s="61">
        <f t="shared" si="4"/>
        <v>0</v>
      </c>
      <c r="E22" s="62" t="str">
        <f t="shared" si="5"/>
        <v/>
      </c>
      <c r="O22" t="s">
        <v>311</v>
      </c>
      <c r="P22" s="61">
        <f>SUMIFS('Stato patrimoniale'!W:W,'Stato patrimoniale'!$AG:$AG,"&gt;0",'Stato patrimoniale'!$F:$F,$O22,'Stato patrimoniale'!$B:$B,1,'Stato patrimoniale'!$E:$E,"Azioni")</f>
        <v>0</v>
      </c>
      <c r="Q22" s="61">
        <f>SUMIFS('Stato patrimoniale'!AP:AP,'Stato patrimoniale'!$AG:$AG,"&gt;0",'Stato patrimoniale'!$F:$F,$O22,'Stato patrimoniale'!$B:$B,1,'Stato patrimoniale'!$E:$E,"Azioni")</f>
        <v>0</v>
      </c>
      <c r="R22" s="61">
        <f t="shared" si="6"/>
        <v>0</v>
      </c>
      <c r="S22" s="62" t="str">
        <f t="shared" si="7"/>
        <v/>
      </c>
    </row>
    <row r="23" spans="1:19" x14ac:dyDescent="0.25">
      <c r="A23" t="s">
        <v>324</v>
      </c>
      <c r="B23" s="61">
        <f>SUMIFS('Stato patrimoniale'!W:W,'Stato patrimoniale'!$AG:$AG,"",'Stato patrimoniale'!$F:$F,$A23,'Stato patrimoniale'!$B:$B,1,'Stato patrimoniale'!$E:$E,"Azioni")</f>
        <v>0</v>
      </c>
      <c r="C23" s="61">
        <f>SUMIFS('Stato patrimoniale'!AD:AD,'Stato patrimoniale'!$AG:$AG,"",'Stato patrimoniale'!$F:$F,$A23,'Stato patrimoniale'!$B:$B,1,'Stato patrimoniale'!$E:$E,"Azioni")</f>
        <v>0</v>
      </c>
      <c r="D23" s="61">
        <f t="shared" si="4"/>
        <v>0</v>
      </c>
      <c r="E23" s="62" t="str">
        <f t="shared" si="5"/>
        <v/>
      </c>
      <c r="O23" t="s">
        <v>324</v>
      </c>
      <c r="P23" s="61">
        <f>SUMIFS('Stato patrimoniale'!W:W,'Stato patrimoniale'!$AG:$AG,"&gt;0",'Stato patrimoniale'!$F:$F,$O23,'Stato patrimoniale'!$B:$B,1,'Stato patrimoniale'!$E:$E,"Azioni")</f>
        <v>0</v>
      </c>
      <c r="Q23" s="61">
        <f>SUMIFS('Stato patrimoniale'!AP:AP,'Stato patrimoniale'!$AG:$AG,"&gt;0",'Stato patrimoniale'!$F:$F,$O23,'Stato patrimoniale'!$B:$B,1,'Stato patrimoniale'!$E:$E,"Azioni")</f>
        <v>0</v>
      </c>
      <c r="R23" s="61">
        <f t="shared" si="6"/>
        <v>0</v>
      </c>
      <c r="S23" s="62" t="str">
        <f t="shared" si="7"/>
        <v/>
      </c>
    </row>
  </sheetData>
  <sortState xmlns:xlrd2="http://schemas.microsoft.com/office/spreadsheetml/2017/richdata2" ref="A7:E23">
    <sortCondition descending="1" ref="C7:C23"/>
  </sortState>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B8C6-77DB-423B-847E-AB13B2E2CE6B}">
  <sheetPr codeName="Sheet10"/>
  <dimension ref="A1:S19"/>
  <sheetViews>
    <sheetView workbookViewId="0">
      <selection activeCell="E10" sqref="E10"/>
    </sheetView>
  </sheetViews>
  <sheetFormatPr defaultRowHeight="15" x14ac:dyDescent="0.25"/>
  <cols>
    <col min="1" max="1" width="10" customWidth="1"/>
    <col min="2" max="2" width="8" style="61" bestFit="1" customWidth="1"/>
    <col min="3" max="3" width="8" bestFit="1" customWidth="1"/>
    <col min="4" max="4" width="8.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275</v>
      </c>
      <c r="B2" s="63" t="s">
        <v>281</v>
      </c>
      <c r="C2" s="9" t="s">
        <v>282</v>
      </c>
      <c r="D2" s="9" t="s">
        <v>14</v>
      </c>
      <c r="E2" s="9" t="s">
        <v>20</v>
      </c>
      <c r="O2" s="9" t="s">
        <v>275</v>
      </c>
      <c r="P2" s="63" t="s">
        <v>281</v>
      </c>
      <c r="Q2" s="9" t="s">
        <v>284</v>
      </c>
      <c r="R2" s="9" t="s">
        <v>285</v>
      </c>
      <c r="S2" s="9" t="s">
        <v>283</v>
      </c>
    </row>
    <row r="3" spans="1:19" x14ac:dyDescent="0.25">
      <c r="A3" t="s">
        <v>276</v>
      </c>
      <c r="B3" s="61">
        <f>SUMIFS('Stato patrimoniale'!W:W,'Stato patrimoniale'!$AG:$AG,"",'Stato patrimoniale'!$F:$F,$A3,'Stato patrimoniale'!$B:$B,1,'Stato patrimoniale'!$E:$E,"Obblig")</f>
        <v>38104.883650000003</v>
      </c>
      <c r="C3" s="61">
        <f>SUMIFS('Stato patrimoniale'!AD:AD,'Stato patrimoniale'!$AG:$AG,"",'Stato patrimoniale'!$F:$F,$A3,'Stato patrimoniale'!$B:$B,1,'Stato patrimoniale'!$E:$E,"Obblig")</f>
        <v>40002.577571892689</v>
      </c>
      <c r="D3" s="61">
        <f t="shared" ref="D3:D19" si="0">C3-B3</f>
        <v>1897.6939218926855</v>
      </c>
      <c r="E3" s="62">
        <f t="shared" ref="E3:E19" si="1">IF(B3=0,"",D3/B3)</f>
        <v>4.9801855828332527E-2</v>
      </c>
      <c r="O3" t="s">
        <v>276</v>
      </c>
      <c r="P3" s="61">
        <f>SUMIFS('Stato patrimoniale'!W:W,'Stato patrimoniale'!$AG:$AG,"&gt;0",'Stato patrimoniale'!$F:$F,$O3,'Stato patrimoniale'!$B:$B,1,'Stato patrimoniale'!$E:$E,"Obblig")</f>
        <v>7031.7890500000003</v>
      </c>
      <c r="Q3" s="61">
        <f>SUMIFS('Stato patrimoniale'!AP:AP,'Stato patrimoniale'!$AG:$AG,"&gt;0",'Stato patrimoniale'!$F:$F,$O3,'Stato patrimoniale'!$B:$B,1,'Stato patrimoniale'!$E:$E,"Obblig")</f>
        <v>7448.94625</v>
      </c>
      <c r="R3" s="61">
        <f>Q3-P3</f>
        <v>417.15719999999965</v>
      </c>
      <c r="S3" s="62">
        <f>IF(P3=0,"",R3/P3)</f>
        <v>5.9324475895647016E-2</v>
      </c>
    </row>
    <row r="4" spans="1:19" x14ac:dyDescent="0.25">
      <c r="A4" t="s">
        <v>306</v>
      </c>
      <c r="B4" s="61">
        <f>SUMIFS('Stato patrimoniale'!W:W,'Stato patrimoniale'!$AG:$AG,"",'Stato patrimoniale'!$F:$F,$A4,'Stato patrimoniale'!$B:$B,1,'Stato patrimoniale'!$E:$E,"Obblig")</f>
        <v>63902.068800000001</v>
      </c>
      <c r="C4" s="61">
        <f ca="1">SUMIFS('Stato patrimoniale'!AD:AD,'Stato patrimoniale'!$AG:$AG,"",'Stato patrimoniale'!$F:$F,$A4,'Stato patrimoniale'!$B:$B,1,'Stato patrimoniale'!$E:$E,"Obblig")</f>
        <v>65084.158322738585</v>
      </c>
      <c r="D4" s="61">
        <f t="shared" ca="1" si="0"/>
        <v>1182.0895227385845</v>
      </c>
      <c r="E4" s="62">
        <f t="shared" ca="1" si="1"/>
        <v>1.8498454665658408E-2</v>
      </c>
      <c r="O4" t="s">
        <v>306</v>
      </c>
      <c r="P4" s="61">
        <f>SUMIFS('Stato patrimoniale'!W:W,'Stato patrimoniale'!$AG:$AG,"&gt;0",'Stato patrimoniale'!$F:$F,$O4,'Stato patrimoniale'!$B:$B,1,'Stato patrimoniale'!$E:$E,"Obblig")</f>
        <v>0</v>
      </c>
      <c r="Q4" s="61">
        <f>SUMIFS('Stato patrimoniale'!AP:AP,'Stato patrimoniale'!$AG:$AG,"&gt;0",'Stato patrimoniale'!$F:$F,$O4,'Stato patrimoniale'!$B:$B,1,'Stato patrimoniale'!$E:$E,"Obblig")</f>
        <v>0</v>
      </c>
      <c r="R4" s="61">
        <f t="shared" ref="R4:R19" si="2">Q4-P4</f>
        <v>0</v>
      </c>
      <c r="S4" s="62" t="str">
        <f t="shared" ref="S4:S19" si="3">IF(P4=0,"",R4/P4)</f>
        <v/>
      </c>
    </row>
    <row r="5" spans="1:19" x14ac:dyDescent="0.25">
      <c r="A5" t="s">
        <v>307</v>
      </c>
      <c r="B5" s="61">
        <f>SUMIFS('Stato patrimoniale'!W:W,'Stato patrimoniale'!$AG:$AG,"",'Stato patrimoniale'!$F:$F,$A5,'Stato patrimoniale'!$B:$B,1,'Stato patrimoniale'!$E:$E,"Obblig")</f>
        <v>0</v>
      </c>
      <c r="C5" s="61">
        <f>SUMIFS('Stato patrimoniale'!AD:AD,'Stato patrimoniale'!$AG:$AG,"",'Stato patrimoniale'!$F:$F,$A5,'Stato patrimoniale'!$B:$B,1,'Stato patrimoniale'!$E:$E,"Obblig")</f>
        <v>0</v>
      </c>
      <c r="D5" s="61">
        <f t="shared" si="0"/>
        <v>0</v>
      </c>
      <c r="E5" s="62" t="str">
        <f t="shared" si="1"/>
        <v/>
      </c>
      <c r="O5" t="s">
        <v>307</v>
      </c>
      <c r="P5" s="61">
        <f>SUMIFS('Stato patrimoniale'!W:W,'Stato patrimoniale'!$AG:$AG,"&gt;0",'Stato patrimoniale'!$F:$F,$O5,'Stato patrimoniale'!$B:$B,1,'Stato patrimoniale'!$E:$E,"Obblig")</f>
        <v>9211.7822727499988</v>
      </c>
      <c r="Q5" s="61">
        <f>SUMIFS('Stato patrimoniale'!AP:AP,'Stato patrimoniale'!$AG:$AG,"&gt;0",'Stato patrimoniale'!$F:$F,$O5,'Stato patrimoniale'!$B:$B,1,'Stato patrimoniale'!$E:$E,"Obblig")</f>
        <v>9570.3534128838837</v>
      </c>
      <c r="R5" s="61">
        <f t="shared" si="2"/>
        <v>358.57114013388491</v>
      </c>
      <c r="S5" s="62">
        <f t="shared" si="3"/>
        <v>3.8925273038052433E-2</v>
      </c>
    </row>
    <row r="6" spans="1:19" x14ac:dyDescent="0.25">
      <c r="A6" t="s">
        <v>308</v>
      </c>
      <c r="B6" s="61">
        <f>SUMIFS('Stato patrimoniale'!W:W,'Stato patrimoniale'!$AG:$AG,"",'Stato patrimoniale'!$F:$F,$A6,'Stato patrimoniale'!$B:$B,1,'Stato patrimoniale'!$E:$E,"Obblig")</f>
        <v>0</v>
      </c>
      <c r="C6" s="61">
        <f>SUMIFS('Stato patrimoniale'!AD:AD,'Stato patrimoniale'!$AG:$AG,"",'Stato patrimoniale'!$F:$F,$A6,'Stato patrimoniale'!$B:$B,1,'Stato patrimoniale'!$E:$E,"Obblig")</f>
        <v>0</v>
      </c>
      <c r="D6" s="61">
        <f t="shared" si="0"/>
        <v>0</v>
      </c>
      <c r="E6" s="62" t="str">
        <f t="shared" si="1"/>
        <v/>
      </c>
      <c r="O6" t="s">
        <v>308</v>
      </c>
      <c r="P6" s="61">
        <f>SUMIFS('Stato patrimoniale'!W:W,'Stato patrimoniale'!$AG:$AG,"&gt;0",'Stato patrimoniale'!$F:$F,$O6,'Stato patrimoniale'!$B:$B,1,'Stato patrimoniale'!$E:$E,"Obblig")</f>
        <v>0</v>
      </c>
      <c r="Q6" s="61">
        <f>SUMIFS('Stato patrimoniale'!AP:AP,'Stato patrimoniale'!$AG:$AG,"&gt;0",'Stato patrimoniale'!$F:$F,$O6,'Stato patrimoniale'!$B:$B,1,'Stato patrimoniale'!$E:$E,"Obblig")</f>
        <v>0</v>
      </c>
      <c r="R6" s="61">
        <f t="shared" si="2"/>
        <v>0</v>
      </c>
      <c r="S6" s="62" t="str">
        <f t="shared" si="3"/>
        <v/>
      </c>
    </row>
    <row r="7" spans="1:19" x14ac:dyDescent="0.25">
      <c r="A7" t="s">
        <v>316</v>
      </c>
      <c r="B7" s="61">
        <f>SUMIFS('Stato patrimoniale'!W:W,'Stato patrimoniale'!$AG:$AG,"",'Stato patrimoniale'!$F:$F,$A7,'Stato patrimoniale'!$B:$B,1,'Stato patrimoniale'!$E:$E,"Obblig")</f>
        <v>0</v>
      </c>
      <c r="C7" s="61">
        <f>SUMIFS('Stato patrimoniale'!AD:AD,'Stato patrimoniale'!$AG:$AG,"",'Stato patrimoniale'!$F:$F,$A7,'Stato patrimoniale'!$B:$B,1,'Stato patrimoniale'!$E:$E,"Obblig")</f>
        <v>0</v>
      </c>
      <c r="D7" s="61">
        <f t="shared" si="0"/>
        <v>0</v>
      </c>
      <c r="E7" s="62" t="str">
        <f t="shared" si="1"/>
        <v/>
      </c>
      <c r="O7" t="s">
        <v>316</v>
      </c>
      <c r="P7" s="61">
        <f>SUMIFS('Stato patrimoniale'!W:W,'Stato patrimoniale'!$AG:$AG,"&gt;0",'Stato patrimoniale'!$F:$F,$O7,'Stato patrimoniale'!$B:$B,1,'Stato patrimoniale'!$E:$E,"Obblig")</f>
        <v>0</v>
      </c>
      <c r="Q7" s="61">
        <f>SUMIFS('Stato patrimoniale'!AP:AP,'Stato patrimoniale'!$AG:$AG,"&gt;0",'Stato patrimoniale'!$F:$F,$O7,'Stato patrimoniale'!$B:$B,1,'Stato patrimoniale'!$E:$E,"Obblig")</f>
        <v>0</v>
      </c>
      <c r="R7" s="61">
        <f t="shared" si="2"/>
        <v>0</v>
      </c>
      <c r="S7" s="62" t="str">
        <f t="shared" si="3"/>
        <v/>
      </c>
    </row>
    <row r="8" spans="1:19" x14ac:dyDescent="0.25">
      <c r="A8" t="s">
        <v>309</v>
      </c>
      <c r="B8" s="61">
        <f>SUMIFS('Stato patrimoniale'!W:W,'Stato patrimoniale'!$AG:$AG,"",'Stato patrimoniale'!$F:$F,$A8,'Stato patrimoniale'!$B:$B,1,'Stato patrimoniale'!$E:$E,"Obblig")</f>
        <v>0</v>
      </c>
      <c r="C8" s="61">
        <f>SUMIFS('Stato patrimoniale'!AD:AD,'Stato patrimoniale'!$AG:$AG,"",'Stato patrimoniale'!$F:$F,$A8,'Stato patrimoniale'!$B:$B,1,'Stato patrimoniale'!$E:$E,"Obblig")</f>
        <v>0</v>
      </c>
      <c r="D8" s="61">
        <f t="shared" si="0"/>
        <v>0</v>
      </c>
      <c r="E8" s="62" t="str">
        <f t="shared" si="1"/>
        <v/>
      </c>
      <c r="O8" t="s">
        <v>309</v>
      </c>
      <c r="P8" s="61">
        <f>SUMIFS('Stato patrimoniale'!W:W,'Stato patrimoniale'!$AG:$AG,"&gt;0",'Stato patrimoniale'!$F:$F,$O8,'Stato patrimoniale'!$B:$B,1,'Stato patrimoniale'!$E:$E,"Obblig")</f>
        <v>0</v>
      </c>
      <c r="Q8" s="61">
        <f>SUMIFS('Stato patrimoniale'!AP:AP,'Stato patrimoniale'!$AG:$AG,"&gt;0",'Stato patrimoniale'!$F:$F,$O8,'Stato patrimoniale'!$B:$B,1,'Stato patrimoniale'!$E:$E,"Obblig")</f>
        <v>0</v>
      </c>
      <c r="R8" s="61">
        <f t="shared" si="2"/>
        <v>0</v>
      </c>
      <c r="S8" s="62" t="str">
        <f t="shared" si="3"/>
        <v/>
      </c>
    </row>
    <row r="9" spans="1:19" x14ac:dyDescent="0.25">
      <c r="A9" t="s">
        <v>313</v>
      </c>
      <c r="B9" s="61">
        <f>SUMIFS('Stato patrimoniale'!W:W,'Stato patrimoniale'!$AG:$AG,"",'Stato patrimoniale'!$F:$F,$A9,'Stato patrimoniale'!$B:$B,1,'Stato patrimoniale'!$E:$E,"Obblig")</f>
        <v>0</v>
      </c>
      <c r="C9" s="61">
        <f>SUMIFS('Stato patrimoniale'!AD:AD,'Stato patrimoniale'!$AG:$AG,"",'Stato patrimoniale'!$F:$F,$A9,'Stato patrimoniale'!$B:$B,1,'Stato patrimoniale'!$E:$E,"Obblig")</f>
        <v>0</v>
      </c>
      <c r="D9" s="61">
        <f t="shared" si="0"/>
        <v>0</v>
      </c>
      <c r="E9" s="62" t="str">
        <f t="shared" si="1"/>
        <v/>
      </c>
      <c r="O9" t="s">
        <v>313</v>
      </c>
      <c r="P9" s="61">
        <f>SUMIFS('Stato patrimoniale'!W:W,'Stato patrimoniale'!$AG:$AG,"&gt;0",'Stato patrimoniale'!$F:$F,$O9,'Stato patrimoniale'!$B:$B,1,'Stato patrimoniale'!$E:$E,"Obblig")</f>
        <v>0</v>
      </c>
      <c r="Q9" s="61">
        <f>SUMIFS('Stato patrimoniale'!AP:AP,'Stato patrimoniale'!$AG:$AG,"&gt;0",'Stato patrimoniale'!$F:$F,$O9,'Stato patrimoniale'!$B:$B,1,'Stato patrimoniale'!$E:$E,"Obblig")</f>
        <v>0</v>
      </c>
      <c r="R9" s="61">
        <f t="shared" si="2"/>
        <v>0</v>
      </c>
      <c r="S9" s="62" t="str">
        <f t="shared" si="3"/>
        <v/>
      </c>
    </row>
    <row r="10" spans="1:19" x14ac:dyDescent="0.25">
      <c r="A10" t="s">
        <v>310</v>
      </c>
      <c r="B10" s="61">
        <f>SUMIFS('Stato patrimoniale'!W:W,'Stato patrimoniale'!$AG:$AG,"",'Stato patrimoniale'!$F:$F,$A10,'Stato patrimoniale'!$B:$B,1,'Stato patrimoniale'!$E:$E,"Obblig")</f>
        <v>0</v>
      </c>
      <c r="C10" s="61">
        <f>SUMIFS('Stato patrimoniale'!AD:AD,'Stato patrimoniale'!$AG:$AG,"",'Stato patrimoniale'!$F:$F,$A10,'Stato patrimoniale'!$B:$B,1,'Stato patrimoniale'!$E:$E,"Obblig")</f>
        <v>0</v>
      </c>
      <c r="D10" s="61">
        <f t="shared" si="0"/>
        <v>0</v>
      </c>
      <c r="E10" s="62" t="str">
        <f t="shared" si="1"/>
        <v/>
      </c>
      <c r="O10" t="s">
        <v>310</v>
      </c>
      <c r="P10" s="61">
        <f>SUMIFS('Stato patrimoniale'!W:W,'Stato patrimoniale'!$AG:$AG,"&gt;0",'Stato patrimoniale'!$F:$F,$O10,'Stato patrimoniale'!$B:$B,1,'Stato patrimoniale'!$E:$E,"Obblig")</f>
        <v>0</v>
      </c>
      <c r="Q10" s="61">
        <f>SUMIFS('Stato patrimoniale'!AP:AP,'Stato patrimoniale'!$AG:$AG,"&gt;0",'Stato patrimoniale'!$F:$F,$O10,'Stato patrimoniale'!$B:$B,1,'Stato patrimoniale'!$E:$E,"Obblig")</f>
        <v>0</v>
      </c>
      <c r="R10" s="61">
        <f t="shared" si="2"/>
        <v>0</v>
      </c>
      <c r="S10" s="62" t="str">
        <f t="shared" si="3"/>
        <v/>
      </c>
    </row>
    <row r="11" spans="1:19" x14ac:dyDescent="0.25">
      <c r="A11" t="s">
        <v>319</v>
      </c>
      <c r="B11" s="61">
        <f>SUMIFS('Stato patrimoniale'!W:W,'Stato patrimoniale'!$AG:$AG,"",'Stato patrimoniale'!$F:$F,$A11,'Stato patrimoniale'!$B:$B,1,'Stato patrimoniale'!$E:$E,"Obblig")</f>
        <v>0</v>
      </c>
      <c r="C11" s="61">
        <f>SUMIFS('Stato patrimoniale'!AD:AD,'Stato patrimoniale'!$AG:$AG,"",'Stato patrimoniale'!$F:$F,$A11,'Stato patrimoniale'!$B:$B,1,'Stato patrimoniale'!$E:$E,"Obblig")</f>
        <v>0</v>
      </c>
      <c r="D11" s="61">
        <f t="shared" si="0"/>
        <v>0</v>
      </c>
      <c r="E11" s="62" t="str">
        <f t="shared" si="1"/>
        <v/>
      </c>
      <c r="O11" t="s">
        <v>319</v>
      </c>
      <c r="P11" s="61">
        <f>SUMIFS('Stato patrimoniale'!W:W,'Stato patrimoniale'!$AG:$AG,"&gt;0",'Stato patrimoniale'!$F:$F,$O11,'Stato patrimoniale'!$B:$B,1,'Stato patrimoniale'!$E:$E,"Obblig")</f>
        <v>0</v>
      </c>
      <c r="Q11" s="61">
        <f>SUMIFS('Stato patrimoniale'!AP:AP,'Stato patrimoniale'!$AG:$AG,"&gt;0",'Stato patrimoniale'!$F:$F,$O11,'Stato patrimoniale'!$B:$B,1,'Stato patrimoniale'!$E:$E,"Obblig")</f>
        <v>0</v>
      </c>
      <c r="R11" s="61">
        <f t="shared" si="2"/>
        <v>0</v>
      </c>
      <c r="S11" s="62" t="str">
        <f t="shared" si="3"/>
        <v/>
      </c>
    </row>
    <row r="12" spans="1:19" x14ac:dyDescent="0.25">
      <c r="A12" t="s">
        <v>312</v>
      </c>
      <c r="B12" s="61">
        <f>SUMIFS('Stato patrimoniale'!W:W,'Stato patrimoniale'!$AG:$AG,"",'Stato patrimoniale'!$F:$F,$A12,'Stato patrimoniale'!$B:$B,1,'Stato patrimoniale'!$E:$E,"Obblig")</f>
        <v>0</v>
      </c>
      <c r="C12" s="61">
        <f>SUMIFS('Stato patrimoniale'!AD:AD,'Stato patrimoniale'!$AG:$AG,"",'Stato patrimoniale'!$F:$F,$A12,'Stato patrimoniale'!$B:$B,1,'Stato patrimoniale'!$E:$E,"Obblig")</f>
        <v>0</v>
      </c>
      <c r="D12" s="61">
        <f t="shared" si="0"/>
        <v>0</v>
      </c>
      <c r="E12" s="62" t="str">
        <f t="shared" si="1"/>
        <v/>
      </c>
      <c r="O12" t="s">
        <v>312</v>
      </c>
      <c r="P12" s="61">
        <f>SUMIFS('Stato patrimoniale'!W:W,'Stato patrimoniale'!$AG:$AG,"&gt;0",'Stato patrimoniale'!$F:$F,$O12,'Stato patrimoniale'!$B:$B,1,'Stato patrimoniale'!$E:$E,"Obblig")</f>
        <v>0</v>
      </c>
      <c r="Q12" s="61">
        <f>SUMIFS('Stato patrimoniale'!AP:AP,'Stato patrimoniale'!$AG:$AG,"&gt;0",'Stato patrimoniale'!$F:$F,$O12,'Stato patrimoniale'!$B:$B,1,'Stato patrimoniale'!$E:$E,"Obblig")</f>
        <v>0</v>
      </c>
      <c r="R12" s="61">
        <f t="shared" si="2"/>
        <v>0</v>
      </c>
      <c r="S12" s="62" t="str">
        <f t="shared" si="3"/>
        <v/>
      </c>
    </row>
    <row r="13" spans="1:19" x14ac:dyDescent="0.25">
      <c r="A13" t="s">
        <v>314</v>
      </c>
      <c r="B13" s="61">
        <f>SUMIFS('Stato patrimoniale'!W:W,'Stato patrimoniale'!$AG:$AG,"",'Stato patrimoniale'!$F:$F,$A13,'Stato patrimoniale'!$B:$B,1,'Stato patrimoniale'!$E:$E,"Obblig")</f>
        <v>0</v>
      </c>
      <c r="C13" s="61">
        <f>SUMIFS('Stato patrimoniale'!AD:AD,'Stato patrimoniale'!$AG:$AG,"",'Stato patrimoniale'!$F:$F,$A13,'Stato patrimoniale'!$B:$B,1,'Stato patrimoniale'!$E:$E,"Obblig")</f>
        <v>0</v>
      </c>
      <c r="D13" s="61">
        <f t="shared" si="0"/>
        <v>0</v>
      </c>
      <c r="E13" s="62" t="str">
        <f t="shared" si="1"/>
        <v/>
      </c>
      <c r="O13" t="s">
        <v>314</v>
      </c>
      <c r="P13" s="61">
        <f>SUMIFS('Stato patrimoniale'!W:W,'Stato patrimoniale'!$AG:$AG,"&gt;0",'Stato patrimoniale'!$F:$F,$O13,'Stato patrimoniale'!$B:$B,1,'Stato patrimoniale'!$E:$E,"Obblig")</f>
        <v>0</v>
      </c>
      <c r="Q13" s="61">
        <f>SUMIFS('Stato patrimoniale'!AP:AP,'Stato patrimoniale'!$AG:$AG,"&gt;0",'Stato patrimoniale'!$F:$F,$O13,'Stato patrimoniale'!$B:$B,1,'Stato patrimoniale'!$E:$E,"Obblig")</f>
        <v>0</v>
      </c>
      <c r="R13" s="61">
        <f t="shared" si="2"/>
        <v>0</v>
      </c>
      <c r="S13" s="62" t="str">
        <f t="shared" si="3"/>
        <v/>
      </c>
    </row>
    <row r="14" spans="1:19" x14ac:dyDescent="0.25">
      <c r="A14" t="s">
        <v>318</v>
      </c>
      <c r="B14" s="61">
        <f>SUMIFS('Stato patrimoniale'!W:W,'Stato patrimoniale'!$AG:$AG,"",'Stato patrimoniale'!$F:$F,$A14,'Stato patrimoniale'!$B:$B,1,'Stato patrimoniale'!$E:$E,"Obblig")</f>
        <v>0</v>
      </c>
      <c r="C14" s="61">
        <f>SUMIFS('Stato patrimoniale'!AD:AD,'Stato patrimoniale'!$AG:$AG,"",'Stato patrimoniale'!$F:$F,$A14,'Stato patrimoniale'!$B:$B,1,'Stato patrimoniale'!$E:$E,"Obblig")</f>
        <v>0</v>
      </c>
      <c r="D14" s="61">
        <f t="shared" si="0"/>
        <v>0</v>
      </c>
      <c r="E14" s="62" t="str">
        <f t="shared" si="1"/>
        <v/>
      </c>
      <c r="O14" t="s">
        <v>318</v>
      </c>
      <c r="P14" s="61">
        <f>SUMIFS('Stato patrimoniale'!W:W,'Stato patrimoniale'!$AG:$AG,"&gt;0",'Stato patrimoniale'!$F:$F,$O14,'Stato patrimoniale'!$B:$B,1,'Stato patrimoniale'!$E:$E,"Obblig")</f>
        <v>0</v>
      </c>
      <c r="Q14" s="61">
        <f>SUMIFS('Stato patrimoniale'!AP:AP,'Stato patrimoniale'!$AG:$AG,"&gt;0",'Stato patrimoniale'!$F:$F,$O14,'Stato patrimoniale'!$B:$B,1,'Stato patrimoniale'!$E:$E,"Obblig")</f>
        <v>0</v>
      </c>
      <c r="R14" s="61">
        <f t="shared" si="2"/>
        <v>0</v>
      </c>
      <c r="S14" s="62" t="str">
        <f t="shared" si="3"/>
        <v/>
      </c>
    </row>
    <row r="15" spans="1:19" x14ac:dyDescent="0.25">
      <c r="A15" t="s">
        <v>315</v>
      </c>
      <c r="B15" s="61">
        <f>SUMIFS('Stato patrimoniale'!W:W,'Stato patrimoniale'!$AG:$AG,"",'Stato patrimoniale'!$F:$F,$A15,'Stato patrimoniale'!$B:$B,1,'Stato patrimoniale'!$E:$E,"Obblig")</f>
        <v>0</v>
      </c>
      <c r="C15" s="61">
        <f>SUMIFS('Stato patrimoniale'!AD:AD,'Stato patrimoniale'!$AG:$AG,"",'Stato patrimoniale'!$F:$F,$A15,'Stato patrimoniale'!$B:$B,1,'Stato patrimoniale'!$E:$E,"Obblig")</f>
        <v>0</v>
      </c>
      <c r="D15" s="61">
        <f t="shared" si="0"/>
        <v>0</v>
      </c>
      <c r="E15" s="62" t="str">
        <f t="shared" si="1"/>
        <v/>
      </c>
      <c r="O15" t="s">
        <v>315</v>
      </c>
      <c r="P15" s="61">
        <f>SUMIFS('Stato patrimoniale'!W:W,'Stato patrimoniale'!$AG:$AG,"&gt;0",'Stato patrimoniale'!$F:$F,$O15,'Stato patrimoniale'!$B:$B,1,'Stato patrimoniale'!$E:$E,"Obblig")</f>
        <v>0</v>
      </c>
      <c r="Q15" s="61">
        <f>SUMIFS('Stato patrimoniale'!AP:AP,'Stato patrimoniale'!$AG:$AG,"&gt;0",'Stato patrimoniale'!$F:$F,$O15,'Stato patrimoniale'!$B:$B,1,'Stato patrimoniale'!$E:$E,"Obblig")</f>
        <v>0</v>
      </c>
      <c r="R15" s="61">
        <f t="shared" si="2"/>
        <v>0</v>
      </c>
      <c r="S15" s="62" t="str">
        <f t="shared" si="3"/>
        <v/>
      </c>
    </row>
    <row r="16" spans="1:19" x14ac:dyDescent="0.25">
      <c r="A16" t="s">
        <v>317</v>
      </c>
      <c r="B16" s="61">
        <f>SUMIFS('Stato patrimoniale'!W:W,'Stato patrimoniale'!$AG:$AG,"",'Stato patrimoniale'!$F:$F,$A16,'Stato patrimoniale'!$B:$B,1,'Stato patrimoniale'!$E:$E,"Obblig")</f>
        <v>0</v>
      </c>
      <c r="C16" s="61">
        <f>SUMIFS('Stato patrimoniale'!AD:AD,'Stato patrimoniale'!$AG:$AG,"",'Stato patrimoniale'!$F:$F,$A16,'Stato patrimoniale'!$B:$B,1,'Stato patrimoniale'!$E:$E,"Obblig")</f>
        <v>0</v>
      </c>
      <c r="D16" s="61">
        <f t="shared" si="0"/>
        <v>0</v>
      </c>
      <c r="E16" s="62" t="str">
        <f t="shared" si="1"/>
        <v/>
      </c>
      <c r="O16" t="s">
        <v>317</v>
      </c>
      <c r="P16" s="61">
        <f>SUMIFS('Stato patrimoniale'!W:W,'Stato patrimoniale'!$AG:$AG,"&gt;0",'Stato patrimoniale'!$F:$F,$O16,'Stato patrimoniale'!$B:$B,1,'Stato patrimoniale'!$E:$E,"Obblig")</f>
        <v>0</v>
      </c>
      <c r="Q16" s="61">
        <f>SUMIFS('Stato patrimoniale'!AP:AP,'Stato patrimoniale'!$AG:$AG,"&gt;0",'Stato patrimoniale'!$F:$F,$O16,'Stato patrimoniale'!$B:$B,1,'Stato patrimoniale'!$E:$E,"Obblig")</f>
        <v>0</v>
      </c>
      <c r="R16" s="61">
        <f t="shared" si="2"/>
        <v>0</v>
      </c>
      <c r="S16" s="62" t="str">
        <f t="shared" si="3"/>
        <v/>
      </c>
    </row>
    <row r="17" spans="1:19" x14ac:dyDescent="0.25">
      <c r="A17" t="s">
        <v>325</v>
      </c>
      <c r="B17" s="61">
        <f>SUMIFS('Stato patrimoniale'!W:W,'Stato patrimoniale'!$AG:$AG,"",'Stato patrimoniale'!$F:$F,$A17,'Stato patrimoniale'!$B:$B,1,'Stato patrimoniale'!$E:$E,"Obblig")</f>
        <v>0</v>
      </c>
      <c r="C17" s="61">
        <f>SUMIFS('Stato patrimoniale'!AD:AD,'Stato patrimoniale'!$AG:$AG,"",'Stato patrimoniale'!$F:$F,$A17,'Stato patrimoniale'!$B:$B,1,'Stato patrimoniale'!$E:$E,"Obblig")</f>
        <v>0</v>
      </c>
      <c r="D17" s="61">
        <f t="shared" si="0"/>
        <v>0</v>
      </c>
      <c r="E17" s="62" t="str">
        <f t="shared" si="1"/>
        <v/>
      </c>
      <c r="O17" t="s">
        <v>325</v>
      </c>
      <c r="P17" s="61">
        <f>SUMIFS('Stato patrimoniale'!W:W,'Stato patrimoniale'!$AG:$AG,"&gt;0",'Stato patrimoniale'!$F:$F,$O17,'Stato patrimoniale'!$B:$B,1,'Stato patrimoniale'!$E:$E,"Obblig")</f>
        <v>0</v>
      </c>
      <c r="Q17" s="61">
        <f>SUMIFS('Stato patrimoniale'!AP:AP,'Stato patrimoniale'!$AG:$AG,"&gt;0",'Stato patrimoniale'!$F:$F,$O17,'Stato patrimoniale'!$B:$B,1,'Stato patrimoniale'!$E:$E,"Obblig")</f>
        <v>0</v>
      </c>
      <c r="R17" s="61">
        <f t="shared" si="2"/>
        <v>0</v>
      </c>
      <c r="S17" s="62" t="str">
        <f t="shared" si="3"/>
        <v/>
      </c>
    </row>
    <row r="18" spans="1:19" x14ac:dyDescent="0.25">
      <c r="A18" t="s">
        <v>311</v>
      </c>
      <c r="B18" s="61">
        <f>SUMIFS('Stato patrimoniale'!W:W,'Stato patrimoniale'!$AG:$AG,"",'Stato patrimoniale'!$F:$F,$A18,'Stato patrimoniale'!$B:$B,1,'Stato patrimoniale'!$E:$E,"Obblig")</f>
        <v>0</v>
      </c>
      <c r="C18" s="61">
        <f>SUMIFS('Stato patrimoniale'!AD:AD,'Stato patrimoniale'!$AG:$AG,"",'Stato patrimoniale'!$F:$F,$A18,'Stato patrimoniale'!$B:$B,1,'Stato patrimoniale'!$E:$E,"Obblig")</f>
        <v>0</v>
      </c>
      <c r="D18" s="61">
        <f t="shared" si="0"/>
        <v>0</v>
      </c>
      <c r="E18" s="62" t="str">
        <f t="shared" si="1"/>
        <v/>
      </c>
      <c r="O18" t="s">
        <v>311</v>
      </c>
      <c r="P18" s="61">
        <f>SUMIFS('Stato patrimoniale'!W:W,'Stato patrimoniale'!$AG:$AG,"&gt;0",'Stato patrimoniale'!$F:$F,$O18,'Stato patrimoniale'!$B:$B,1,'Stato patrimoniale'!$E:$E,"Obblig")</f>
        <v>0</v>
      </c>
      <c r="Q18" s="61">
        <f>SUMIFS('Stato patrimoniale'!AP:AP,'Stato patrimoniale'!$AG:$AG,"&gt;0",'Stato patrimoniale'!$F:$F,$O18,'Stato patrimoniale'!$B:$B,1,'Stato patrimoniale'!$E:$E,"Obblig")</f>
        <v>0</v>
      </c>
      <c r="R18" s="61">
        <f t="shared" si="2"/>
        <v>0</v>
      </c>
      <c r="S18" s="62" t="str">
        <f t="shared" si="3"/>
        <v/>
      </c>
    </row>
    <row r="19" spans="1:19" x14ac:dyDescent="0.25">
      <c r="A19" t="s">
        <v>324</v>
      </c>
      <c r="B19" s="61">
        <f>SUMIFS('Stato patrimoniale'!W:W,'Stato patrimoniale'!$AG:$AG,"",'Stato patrimoniale'!$F:$F,$A19,'Stato patrimoniale'!$B:$B,1,'Stato patrimoniale'!$E:$E,"Obblig")</f>
        <v>0</v>
      </c>
      <c r="C19" s="61">
        <f>SUMIFS('Stato patrimoniale'!AD:AD,'Stato patrimoniale'!$AG:$AG,"",'Stato patrimoniale'!$F:$F,$A19,'Stato patrimoniale'!$B:$B,1,'Stato patrimoniale'!$E:$E,"Obblig")</f>
        <v>0</v>
      </c>
      <c r="D19" s="61">
        <f t="shared" si="0"/>
        <v>0</v>
      </c>
      <c r="E19" s="62" t="str">
        <f t="shared" si="1"/>
        <v/>
      </c>
      <c r="O19" t="s">
        <v>324</v>
      </c>
      <c r="P19" s="61">
        <f>SUMIFS('Stato patrimoniale'!W:W,'Stato patrimoniale'!$AG:$AG,"&gt;0",'Stato patrimoniale'!$F:$F,$O19,'Stato patrimoniale'!$B:$B,1,'Stato patrimoniale'!$E:$E,"Obblig")</f>
        <v>0</v>
      </c>
      <c r="Q19" s="61">
        <f>SUMIFS('Stato patrimoniale'!AP:AP,'Stato patrimoniale'!$AG:$AG,"&gt;0",'Stato patrimoniale'!$F:$F,$O19,'Stato patrimoniale'!$B:$B,1,'Stato patrimoniale'!$E:$E,"Obblig")</f>
        <v>0</v>
      </c>
      <c r="R19" s="61">
        <f t="shared" si="2"/>
        <v>0</v>
      </c>
      <c r="S19" s="62" t="str">
        <f t="shared" si="3"/>
        <v/>
      </c>
    </row>
  </sheetData>
  <sortState xmlns:xlrd2="http://schemas.microsoft.com/office/spreadsheetml/2017/richdata2" ref="A3:E19">
    <sortCondition descending="1" ref="C3:C19"/>
  </sortState>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2A82-7AD5-4B86-877E-0D3EB43B74CA}">
  <sheetPr codeName="Sheet11"/>
  <dimension ref="A1:S14"/>
  <sheetViews>
    <sheetView workbookViewId="0">
      <selection activeCell="K23" sqref="K23"/>
    </sheetView>
  </sheetViews>
  <sheetFormatPr defaultRowHeight="15" x14ac:dyDescent="0.25"/>
  <cols>
    <col min="1" max="1" width="18.28515625" bestFit="1" customWidth="1"/>
    <col min="2" max="2" width="9" style="61" bestFit="1" customWidth="1"/>
    <col min="3" max="3" width="9" bestFit="1" customWidth="1"/>
    <col min="4" max="4" width="7.7109375" bestFit="1" customWidth="1"/>
    <col min="5" max="5" width="12" bestFit="1" customWidth="1"/>
    <col min="15" max="15" width="12.85546875" bestFit="1" customWidth="1"/>
    <col min="19" max="19" width="10.140625" bestFit="1" customWidth="1"/>
  </cols>
  <sheetData>
    <row r="1" spans="1:19" s="64" customFormat="1" x14ac:dyDescent="0.25">
      <c r="A1" s="64" t="s">
        <v>286</v>
      </c>
      <c r="B1" s="65"/>
      <c r="O1" s="64" t="s">
        <v>287</v>
      </c>
    </row>
    <row r="2" spans="1:19" s="9" customFormat="1" ht="33" customHeight="1" x14ac:dyDescent="0.25">
      <c r="A2" s="9" t="s">
        <v>277</v>
      </c>
      <c r="B2" s="63" t="s">
        <v>281</v>
      </c>
      <c r="C2" s="9" t="s">
        <v>282</v>
      </c>
      <c r="D2" s="9" t="s">
        <v>14</v>
      </c>
      <c r="E2" s="9" t="s">
        <v>20</v>
      </c>
      <c r="O2" s="9" t="s">
        <v>277</v>
      </c>
      <c r="P2" s="63" t="s">
        <v>281</v>
      </c>
      <c r="Q2" s="9" t="s">
        <v>284</v>
      </c>
      <c r="R2" s="9" t="s">
        <v>285</v>
      </c>
      <c r="S2" s="9" t="s">
        <v>283</v>
      </c>
    </row>
    <row r="3" spans="1:19" x14ac:dyDescent="0.25">
      <c r="A3" t="s">
        <v>289</v>
      </c>
      <c r="B3" s="61">
        <f>SUMIFS('Stato patrimoniale'!W:W,'Stato patrimoniale'!$AG:$AG,"",'Stato patrimoniale'!$G:$G,$A3,'Stato patrimoniale'!$B:$B,1)</f>
        <v>517.51299999999992</v>
      </c>
      <c r="C3" s="61">
        <f ca="1">SUMIFS('Stato patrimoniale'!AD:AD,'Stato patrimoniale'!$AG:$AG,"",'Stato patrimoniale'!$G:$G,$A3,'Stato patrimoniale'!$B:$B,1)</f>
        <v>908.66200157973799</v>
      </c>
      <c r="D3" s="61">
        <f t="shared" ref="D3:D14" ca="1" si="0">C3-B3</f>
        <v>391.14900157973807</v>
      </c>
      <c r="E3" s="62">
        <f t="shared" ref="E3:E14" ca="1" si="1">IF(B3=0,"",D3/B3)</f>
        <v>0.75582449441799171</v>
      </c>
      <c r="O3" t="s">
        <v>289</v>
      </c>
      <c r="P3" s="61">
        <f>SUMIFS('Stato patrimoniale'!W:W,'Stato patrimoniale'!$AG:$AG,"&gt;0",'Stato patrimoniale'!$G:$G,$O3,'Stato patrimoniale'!$B:$B,1)</f>
        <v>484.7</v>
      </c>
      <c r="Q3" s="61">
        <f>SUMIFS('Stato patrimoniale'!AP:AP,'Stato patrimoniale'!$AG:$AG,"&gt;0",'Stato patrimoniale'!$G:$G,$O3,'Stato patrimoniale'!$B:$B,1)</f>
        <v>368.43291680000004</v>
      </c>
      <c r="R3" s="61">
        <f>Q3-P3</f>
        <v>-116.26708319999995</v>
      </c>
      <c r="S3" s="62">
        <f>IF(P3=0,"",R3/P3)</f>
        <v>-0.23987432061068692</v>
      </c>
    </row>
    <row r="4" spans="1:19" x14ac:dyDescent="0.25">
      <c r="A4" t="s">
        <v>290</v>
      </c>
      <c r="B4" s="61">
        <f>SUMIFS('Stato patrimoniale'!W:W,'Stato patrimoniale'!$AG:$AG,"",'Stato patrimoniale'!$G:$G,$A4,'Stato patrimoniale'!$B:$B,1)</f>
        <v>0</v>
      </c>
      <c r="C4" s="61">
        <f>SUMIFS('Stato patrimoniale'!AD:AD,'Stato patrimoniale'!$AG:$AG,"",'Stato patrimoniale'!$G:$G,$A4,'Stato patrimoniale'!$B:$B,1)</f>
        <v>0</v>
      </c>
      <c r="D4" s="61">
        <f t="shared" si="0"/>
        <v>0</v>
      </c>
      <c r="E4" s="62" t="str">
        <f t="shared" si="1"/>
        <v/>
      </c>
      <c r="O4" t="s">
        <v>290</v>
      </c>
      <c r="P4" s="61">
        <f>SUMIFS('Stato patrimoniale'!W:W,'Stato patrimoniale'!$AG:$AG,"&gt;0",'Stato patrimoniale'!$G:$G,$O4,'Stato patrimoniale'!$B:$B,1)</f>
        <v>502.048</v>
      </c>
      <c r="Q4" s="61">
        <f>SUMIFS('Stato patrimoniale'!AP:AP,'Stato patrimoniale'!$AG:$AG,"&gt;0",'Stato patrimoniale'!$G:$G,$O4,'Stato patrimoniale'!$B:$B,1)</f>
        <v>1069.3528000000001</v>
      </c>
      <c r="R4" s="61">
        <f t="shared" ref="R4:R6" si="2">Q4-P4</f>
        <v>567.30480000000011</v>
      </c>
      <c r="S4" s="62">
        <f t="shared" ref="S4:S6" si="3">IF(P4=0,"",R4/P4)</f>
        <v>1.1299811970170186</v>
      </c>
    </row>
    <row r="5" spans="1:19" x14ac:dyDescent="0.25">
      <c r="A5" t="s">
        <v>291</v>
      </c>
      <c r="B5" s="61">
        <f>SUMIFS('Stato patrimoniale'!W:W,'Stato patrimoniale'!$AG:$AG,"",'Stato patrimoniale'!$G:$G,$A5,'Stato patrimoniale'!$B:$B,1)</f>
        <v>0</v>
      </c>
      <c r="C5" s="61">
        <f>SUMIFS('Stato patrimoniale'!AD:AD,'Stato patrimoniale'!$AG:$AG,"",'Stato patrimoniale'!$G:$G,$A5,'Stato patrimoniale'!$B:$B,1)</f>
        <v>0</v>
      </c>
      <c r="D5" s="61">
        <f t="shared" si="0"/>
        <v>0</v>
      </c>
      <c r="E5" s="62" t="str">
        <f t="shared" si="1"/>
        <v/>
      </c>
      <c r="O5" t="s">
        <v>291</v>
      </c>
      <c r="P5" s="61">
        <f>SUMIFS('Stato patrimoniale'!W:W,'Stato patrimoniale'!$AG:$AG,"&gt;0",'Stato patrimoniale'!$G:$G,$O5,'Stato patrimoniale'!$B:$B,1)</f>
        <v>0</v>
      </c>
      <c r="Q5" s="61">
        <f>SUMIFS('Stato patrimoniale'!AP:AP,'Stato patrimoniale'!$AG:$AG,"&gt;0",'Stato patrimoniale'!$G:$G,$O5,'Stato patrimoniale'!$B:$B,1)</f>
        <v>0</v>
      </c>
      <c r="R5" s="61">
        <f t="shared" si="2"/>
        <v>0</v>
      </c>
      <c r="S5" s="62" t="str">
        <f t="shared" si="3"/>
        <v/>
      </c>
    </row>
    <row r="6" spans="1:19" x14ac:dyDescent="0.25">
      <c r="A6" t="s">
        <v>294</v>
      </c>
      <c r="B6" s="61">
        <f>SUMIFS('Stato patrimoniale'!W:W,'Stato patrimoniale'!$AG:$AG,"",'Stato patrimoniale'!$G:$G,$A6,'Stato patrimoniale'!$B:$B,1)</f>
        <v>0</v>
      </c>
      <c r="C6" s="61">
        <f>SUMIFS('Stato patrimoniale'!AD:AD,'Stato patrimoniale'!$AG:$AG,"",'Stato patrimoniale'!$G:$G,$A6,'Stato patrimoniale'!$B:$B,1)</f>
        <v>0</v>
      </c>
      <c r="D6" s="61">
        <f t="shared" si="0"/>
        <v>0</v>
      </c>
      <c r="E6" s="62" t="str">
        <f t="shared" si="1"/>
        <v/>
      </c>
      <c r="O6" t="s">
        <v>294</v>
      </c>
      <c r="P6" s="61">
        <f>SUMIFS('Stato patrimoniale'!W:W,'Stato patrimoniale'!$AG:$AG,"&gt;0",'Stato patrimoniale'!$G:$G,$O6,'Stato patrimoniale'!$B:$B,1)</f>
        <v>0</v>
      </c>
      <c r="Q6" s="61">
        <f>SUMIFS('Stato patrimoniale'!AP:AP,'Stato patrimoniale'!$AG:$AG,"&gt;0",'Stato patrimoniale'!$G:$G,$O6,'Stato patrimoniale'!$B:$B,1)</f>
        <v>0</v>
      </c>
      <c r="R6" s="61">
        <f t="shared" si="2"/>
        <v>0</v>
      </c>
      <c r="S6" s="62" t="str">
        <f t="shared" si="3"/>
        <v/>
      </c>
    </row>
    <row r="7" spans="1:19" x14ac:dyDescent="0.25">
      <c r="A7" t="s">
        <v>293</v>
      </c>
      <c r="B7" s="61">
        <f>SUMIFS('Stato patrimoniale'!W:W,'Stato patrimoniale'!$AG:$AG,"",'Stato patrimoniale'!$G:$G,$A7,'Stato patrimoniale'!$B:$B,1)</f>
        <v>3503.11</v>
      </c>
      <c r="C7" s="61">
        <f ca="1">SUMIFS('Stato patrimoniale'!AD:AD,'Stato patrimoniale'!$AG:$AG,"",'Stato patrimoniale'!$G:$G,$A7,'Stato patrimoniale'!$B:$B,1)</f>
        <v>5593.2000105818479</v>
      </c>
      <c r="D7" s="61">
        <f t="shared" ca="1" si="0"/>
        <v>2090.0900105818478</v>
      </c>
      <c r="E7" s="62">
        <f t="shared" ca="1" si="1"/>
        <v>0.59663841860000044</v>
      </c>
      <c r="O7" t="s">
        <v>293</v>
      </c>
      <c r="P7" s="61">
        <f>SUMIFS('Stato patrimoniale'!W:W,'Stato patrimoniale'!$AG:$AG,"&gt;0",'Stato patrimoniale'!$G:$G,$O7,'Stato patrimoniale'!$B:$B,1)</f>
        <v>0</v>
      </c>
      <c r="Q7" s="61">
        <f>SUMIFS('Stato patrimoniale'!AP:AP,'Stato patrimoniale'!$AG:$AG,"&gt;0",'Stato patrimoniale'!$G:$G,$O7,'Stato patrimoniale'!$B:$B,1)</f>
        <v>0</v>
      </c>
      <c r="R7" s="61">
        <f t="shared" ref="R7:R9" si="4">Q7-P7</f>
        <v>0</v>
      </c>
      <c r="S7" s="62" t="str">
        <f t="shared" ref="S7:S9" si="5">IF(P7=0,"",R7/P7)</f>
        <v/>
      </c>
    </row>
    <row r="8" spans="1:19" x14ac:dyDescent="0.25">
      <c r="A8" t="s">
        <v>320</v>
      </c>
      <c r="B8" s="61">
        <f>SUMIFS('Stato patrimoniale'!W:W,'Stato patrimoniale'!$AG:$AG,"",'Stato patrimoniale'!$G:$G,$A8,'Stato patrimoniale'!$B:$B,1)</f>
        <v>25282.089479679998</v>
      </c>
      <c r="C8" s="61">
        <f ca="1">SUMIFS('Stato patrimoniale'!AD:AD,'Stato patrimoniale'!$AG:$AG,"",'Stato patrimoniale'!$G:$G,$A8,'Stato patrimoniale'!$B:$B,1)</f>
        <v>37161.269474515997</v>
      </c>
      <c r="D8" s="61">
        <f t="shared" ca="1" si="0"/>
        <v>11879.179994835999</v>
      </c>
      <c r="E8" s="62">
        <f t="shared" ca="1" si="1"/>
        <v>0.46986543593968627</v>
      </c>
      <c r="O8" t="s">
        <v>320</v>
      </c>
      <c r="P8" s="61">
        <f>SUMIFS('Stato patrimoniale'!W:W,'Stato patrimoniale'!$AG:$AG,"&gt;0",'Stato patrimoniale'!$G:$G,$O8,'Stato patrimoniale'!$B:$B,1)</f>
        <v>5004.9828562469802</v>
      </c>
      <c r="Q8" s="61">
        <f>SUMIFS('Stato patrimoniale'!AP:AP,'Stato patrimoniale'!$AG:$AG,"&gt;0",'Stato patrimoniale'!$G:$G,$O8,'Stato patrimoniale'!$B:$B,1)</f>
        <v>10563.873613759999</v>
      </c>
      <c r="R8" s="61">
        <f t="shared" si="4"/>
        <v>5558.8907575130188</v>
      </c>
      <c r="S8" s="62">
        <f t="shared" si="5"/>
        <v>1.1106712884290257</v>
      </c>
    </row>
    <row r="9" spans="1:19" x14ac:dyDescent="0.25">
      <c r="A9" t="s">
        <v>322</v>
      </c>
      <c r="B9" s="61">
        <f>SUMIFS('Stato patrimoniale'!W:W,'Stato patrimoniale'!$AG:$AG,"",'Stato patrimoniale'!$G:$G,$A9,'Stato patrimoniale'!$B:$B,1)</f>
        <v>0</v>
      </c>
      <c r="C9" s="61">
        <f>SUMIFS('Stato patrimoniale'!AD:AD,'Stato patrimoniale'!$AG:$AG,"",'Stato patrimoniale'!$G:$G,$A9,'Stato patrimoniale'!$B:$B,1)</f>
        <v>0</v>
      </c>
      <c r="D9" s="61">
        <f t="shared" si="0"/>
        <v>0</v>
      </c>
      <c r="E9" s="62" t="str">
        <f t="shared" si="1"/>
        <v/>
      </c>
      <c r="O9" t="s">
        <v>322</v>
      </c>
      <c r="P9" s="61">
        <f>SUMIFS('Stato patrimoniale'!W:W,'Stato patrimoniale'!$AG:$AG,"&gt;0",'Stato patrimoniale'!$G:$G,$O9,'Stato patrimoniale'!$B:$B,1)</f>
        <v>0</v>
      </c>
      <c r="Q9" s="61">
        <f>SUMIFS('Stato patrimoniale'!AP:AP,'Stato patrimoniale'!$AG:$AG,"&gt;0",'Stato patrimoniale'!$G:$G,$O9,'Stato patrimoniale'!$B:$B,1)</f>
        <v>0</v>
      </c>
      <c r="R9" s="61">
        <f t="shared" si="4"/>
        <v>0</v>
      </c>
      <c r="S9" s="62" t="str">
        <f t="shared" si="5"/>
        <v/>
      </c>
    </row>
    <row r="10" spans="1:19" x14ac:dyDescent="0.25">
      <c r="A10" t="s">
        <v>295</v>
      </c>
      <c r="B10" s="61">
        <f>SUMIFS('Stato patrimoniale'!W:W,'Stato patrimoniale'!$AG:$AG,"",'Stato patrimoniale'!$G:$G,$A10,'Stato patrimoniale'!$B:$B,1)</f>
        <v>0</v>
      </c>
      <c r="C10" s="61">
        <f>SUMIFS('Stato patrimoniale'!AD:AD,'Stato patrimoniale'!$AG:$AG,"",'Stato patrimoniale'!$G:$G,$A10,'Stato patrimoniale'!$B:$B,1)</f>
        <v>0</v>
      </c>
      <c r="D10" s="61">
        <f t="shared" si="0"/>
        <v>0</v>
      </c>
      <c r="E10" s="62" t="str">
        <f t="shared" si="1"/>
        <v/>
      </c>
      <c r="O10" t="s">
        <v>295</v>
      </c>
      <c r="P10" s="61">
        <f>SUMIFS('Stato patrimoniale'!W:W,'Stato patrimoniale'!$AG:$AG,"&gt;0",'Stato patrimoniale'!$G:$G,$O10,'Stato patrimoniale'!$B:$B,1)</f>
        <v>0</v>
      </c>
      <c r="Q10" s="61">
        <f>SUMIFS('Stato patrimoniale'!AP:AP,'Stato patrimoniale'!$AG:$AG,"&gt;0",'Stato patrimoniale'!$G:$G,$O10,'Stato patrimoniale'!$B:$B,1)</f>
        <v>0</v>
      </c>
      <c r="R10" s="61">
        <f t="shared" ref="R10:R11" si="6">Q10-P10</f>
        <v>0</v>
      </c>
      <c r="S10" s="62" t="str">
        <f t="shared" ref="S10:S11" si="7">IF(P10=0,"",R10/P10)</f>
        <v/>
      </c>
    </row>
    <row r="11" spans="1:19" x14ac:dyDescent="0.25">
      <c r="A11" t="s">
        <v>321</v>
      </c>
      <c r="B11" s="61">
        <f>SUMIFS('Stato patrimoniale'!W:W,'Stato patrimoniale'!$AG:$AG,"",'Stato patrimoniale'!$G:$G,$A11,'Stato patrimoniale'!$B:$B,1)</f>
        <v>17554.942000000003</v>
      </c>
      <c r="C11" s="61">
        <f ca="1">SUMIFS('Stato patrimoniale'!AD:AD,'Stato patrimoniale'!$AG:$AG,"",'Stato patrimoniale'!$G:$G,$A11,'Stato patrimoniale'!$B:$B,1)</f>
        <v>17921.142033905242</v>
      </c>
      <c r="D11" s="61">
        <f t="shared" ca="1" si="0"/>
        <v>366.20003390523925</v>
      </c>
      <c r="E11" s="62">
        <f t="shared" ca="1" si="1"/>
        <v>2.0860224653846147E-2</v>
      </c>
      <c r="O11" t="s">
        <v>321</v>
      </c>
      <c r="P11" s="61">
        <f>SUMIFS('Stato patrimoniale'!W:W,'Stato patrimoniale'!$AG:$AG,"&gt;0",'Stato patrimoniale'!$G:$G,$O11,'Stato patrimoniale'!$B:$B,1)</f>
        <v>244.44</v>
      </c>
      <c r="Q11" s="61">
        <f>SUMIFS('Stato patrimoniale'!AP:AP,'Stato patrimoniale'!$AG:$AG,"&gt;0",'Stato patrimoniale'!$G:$G,$O11,'Stato patrimoniale'!$B:$B,1)</f>
        <v>500</v>
      </c>
      <c r="R11" s="61">
        <f t="shared" si="6"/>
        <v>255.56</v>
      </c>
      <c r="S11" s="62">
        <f t="shared" si="7"/>
        <v>1.0454917362133858</v>
      </c>
    </row>
    <row r="12" spans="1:19" x14ac:dyDescent="0.25">
      <c r="A12" t="s">
        <v>292</v>
      </c>
      <c r="B12" s="61">
        <f>SUMIFS('Stato patrimoniale'!W:W,'Stato patrimoniale'!$AG:$AG,"",'Stato patrimoniale'!$G:$G,$A12,'Stato patrimoniale'!$B:$B,1)</f>
        <v>0</v>
      </c>
      <c r="C12" s="61">
        <f>SUMIFS('Stato patrimoniale'!AD:AD,'Stato patrimoniale'!$AG:$AG,"",'Stato patrimoniale'!$G:$G,$A12,'Stato patrimoniale'!$B:$B,1)</f>
        <v>0</v>
      </c>
      <c r="D12" s="61">
        <f t="shared" si="0"/>
        <v>0</v>
      </c>
      <c r="E12" s="62" t="str">
        <f t="shared" si="1"/>
        <v/>
      </c>
      <c r="O12" t="s">
        <v>292</v>
      </c>
      <c r="P12" s="61">
        <f>SUMIFS('Stato patrimoniale'!W:W,'Stato patrimoniale'!$AG:$AG,"&gt;0",'Stato patrimoniale'!$G:$G,$O12,'Stato patrimoniale'!$B:$B,1)</f>
        <v>249.53399999999999</v>
      </c>
      <c r="Q12" s="61">
        <f>SUMIFS('Stato patrimoniale'!AP:AP,'Stato patrimoniale'!$AG:$AG,"&gt;0",'Stato patrimoniale'!$G:$G,$O12,'Stato patrimoniale'!$B:$B,1)</f>
        <v>167.19160000000002</v>
      </c>
      <c r="R12" s="61">
        <f t="shared" ref="R12:R13" si="8">Q12-P12</f>
        <v>-82.342399999999969</v>
      </c>
      <c r="S12" s="62">
        <f t="shared" ref="S12:S13" si="9">IF(P12=0,"",R12/P12)</f>
        <v>-0.32998469146489046</v>
      </c>
    </row>
    <row r="13" spans="1:19" x14ac:dyDescent="0.25">
      <c r="A13" t="s">
        <v>323</v>
      </c>
      <c r="B13" s="61">
        <f>SUMIFS('Stato patrimoniale'!W:W,'Stato patrimoniale'!$AG:$AG,"",'Stato patrimoniale'!$G:$G,$A13,'Stato patrimoniale'!$B:$B,1)</f>
        <v>0</v>
      </c>
      <c r="C13" s="61">
        <f>SUMIFS('Stato patrimoniale'!AD:AD,'Stato patrimoniale'!$AG:$AG,"",'Stato patrimoniale'!$G:$G,$A13,'Stato patrimoniale'!$B:$B,1)</f>
        <v>0</v>
      </c>
      <c r="D13" s="61">
        <f t="shared" si="0"/>
        <v>0</v>
      </c>
      <c r="E13" s="62" t="str">
        <f t="shared" si="1"/>
        <v/>
      </c>
      <c r="O13" t="s">
        <v>323</v>
      </c>
      <c r="P13" s="61">
        <f>SUMIFS('Stato patrimoniale'!W:W,'Stato patrimoniale'!$AG:$AG,"&gt;0",'Stato patrimoniale'!$G:$G,$O13,'Stato patrimoniale'!$B:$B,1)</f>
        <v>256.95</v>
      </c>
      <c r="Q13" s="61">
        <f>SUMIFS('Stato patrimoniale'!AP:AP,'Stato patrimoniale'!$AG:$AG,"&gt;0",'Stato patrimoniale'!$G:$G,$O13,'Stato patrimoniale'!$B:$B,1)</f>
        <v>545.8374</v>
      </c>
      <c r="R13" s="61">
        <f t="shared" si="8"/>
        <v>288.88740000000001</v>
      </c>
      <c r="S13" s="62">
        <f t="shared" si="9"/>
        <v>1.1242942206654993</v>
      </c>
    </row>
    <row r="14" spans="1:19" x14ac:dyDescent="0.25">
      <c r="A14" t="s">
        <v>338</v>
      </c>
      <c r="B14" s="61">
        <f>SUMIFS('Stato patrimoniale'!W:W,'Stato patrimoniale'!$AG:$AG,"",'Stato patrimoniale'!$G:$G,$A14,'Stato patrimoniale'!$B:$B,1)</f>
        <v>84452.010450000002</v>
      </c>
      <c r="C14" s="61">
        <f ca="1">SUMIFS('Stato patrimoniale'!AD:AD,'Stato patrimoniale'!$AG:$AG,"",'Stato patrimoniale'!$G:$G,$A14,'Stato patrimoniale'!$B:$B,1)</f>
        <v>87165.593860726032</v>
      </c>
      <c r="D14" s="61">
        <f t="shared" ca="1" si="0"/>
        <v>2713.5834107260307</v>
      </c>
      <c r="E14" s="62">
        <f t="shared" ca="1" si="1"/>
        <v>3.2131661475751527E-2</v>
      </c>
      <c r="O14" t="s">
        <v>338</v>
      </c>
      <c r="P14" s="61">
        <f>SUMIFS('Stato patrimoniale'!W:W,'Stato patrimoniale'!$AG:$AG,"&gt;0",'Stato patrimoniale'!$G:$G,$O14,'Stato patrimoniale'!$B:$B,1)</f>
        <v>16243.57132275</v>
      </c>
      <c r="Q14" s="61">
        <f>SUMIFS('Stato patrimoniale'!AP:AP,'Stato patrimoniale'!$AG:$AG,"&gt;0",'Stato patrimoniale'!$G:$G,$O14,'Stato patrimoniale'!$B:$B,1)</f>
        <v>17019.299662883885</v>
      </c>
      <c r="R14" s="61">
        <f t="shared" ref="R14" si="10">Q14-P14</f>
        <v>775.72834013388456</v>
      </c>
      <c r="S14" s="62">
        <f t="shared" ref="S14" si="11">IF(P14=0,"",R14/P14)</f>
        <v>4.7756021426608015E-2</v>
      </c>
    </row>
  </sheetData>
  <sortState xmlns:xlrd2="http://schemas.microsoft.com/office/spreadsheetml/2017/richdata2" ref="A3:E13">
    <sortCondition descending="1" ref="C3:C13"/>
  </sortState>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D291-11F2-4A55-BFF5-0E1FE51448C3}">
  <sheetPr codeName="Sheet12"/>
  <dimension ref="A1:S14"/>
  <sheetViews>
    <sheetView workbookViewId="0">
      <selection activeCell="A13" sqref="A13"/>
    </sheetView>
  </sheetViews>
  <sheetFormatPr defaultRowHeight="15" x14ac:dyDescent="0.25"/>
  <cols>
    <col min="1" max="1" width="18.28515625" bestFit="1" customWidth="1"/>
    <col min="2" max="2" width="9" style="61" bestFit="1" customWidth="1"/>
    <col min="3" max="3" width="9" bestFit="1" customWidth="1"/>
    <col min="4" max="4" width="7.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277</v>
      </c>
      <c r="B2" s="63" t="s">
        <v>281</v>
      </c>
      <c r="C2" s="9" t="s">
        <v>282</v>
      </c>
      <c r="D2" s="9" t="s">
        <v>14</v>
      </c>
      <c r="E2" s="9" t="s">
        <v>20</v>
      </c>
      <c r="O2" s="9" t="s">
        <v>277</v>
      </c>
      <c r="P2" s="63" t="s">
        <v>281</v>
      </c>
      <c r="Q2" s="9" t="s">
        <v>284</v>
      </c>
      <c r="R2" s="9" t="s">
        <v>285</v>
      </c>
      <c r="S2" s="9" t="s">
        <v>283</v>
      </c>
    </row>
    <row r="3" spans="1:19" x14ac:dyDescent="0.25">
      <c r="A3" t="s">
        <v>289</v>
      </c>
      <c r="B3" s="61">
        <f>SUMIFS('Stato patrimoniale'!W:W,'Stato patrimoniale'!$AG:$AG,"",'Stato patrimoniale'!$G:$G,$A3,'Stato patrimoniale'!$B:$B,1,'Stato patrimoniale'!$E:$E,"Azioni")</f>
        <v>517.51299999999992</v>
      </c>
      <c r="C3" s="61">
        <f ca="1">SUMIFS('Stato patrimoniale'!AD:AD,'Stato patrimoniale'!$AG:$AG,"",'Stato patrimoniale'!$G:$G,$A3,'Stato patrimoniale'!$B:$B,1,'Stato patrimoniale'!$E:$E,"Azioni")</f>
        <v>908.66200157973799</v>
      </c>
      <c r="D3" s="61">
        <f t="shared" ref="D3:D14" ca="1" si="0">C3-B3</f>
        <v>391.14900157973807</v>
      </c>
      <c r="E3" s="62">
        <f t="shared" ref="E3:E14" ca="1" si="1">IF(B3=0,"",D3/B3)</f>
        <v>0.75582449441799171</v>
      </c>
      <c r="O3" t="s">
        <v>289</v>
      </c>
      <c r="P3" s="61">
        <f>SUMIFS('Stato patrimoniale'!W:W,'Stato patrimoniale'!$AG:$AG,"&gt;0",'Stato patrimoniale'!$G:$G,$O3,'Stato patrimoniale'!$B:$B,1,'Stato patrimoniale'!$E:$E,"Azioni")</f>
        <v>484.7</v>
      </c>
      <c r="Q3" s="61">
        <f>SUMIFS('Stato patrimoniale'!AP:AP,'Stato patrimoniale'!$AG:$AG,"&gt;0",'Stato patrimoniale'!$G:$G,$O3,'Stato patrimoniale'!$B:$B,1,'Stato patrimoniale'!$E:$E,"Azioni")</f>
        <v>368.43291680000004</v>
      </c>
      <c r="R3" s="61">
        <f>Q3-P3</f>
        <v>-116.26708319999995</v>
      </c>
      <c r="S3" s="62">
        <f>IF(P3=0,"",R3/P3)</f>
        <v>-0.23987432061068692</v>
      </c>
    </row>
    <row r="4" spans="1:19" x14ac:dyDescent="0.25">
      <c r="A4" t="s">
        <v>290</v>
      </c>
      <c r="B4" s="61">
        <f>SUMIFS('Stato patrimoniale'!W:W,'Stato patrimoniale'!$AG:$AG,"",'Stato patrimoniale'!$G:$G,$A4,'Stato patrimoniale'!$B:$B,1,'Stato patrimoniale'!$E:$E,"Azioni")</f>
        <v>0</v>
      </c>
      <c r="C4" s="61">
        <f>SUMIFS('Stato patrimoniale'!AD:AD,'Stato patrimoniale'!$AG:$AG,"",'Stato patrimoniale'!$G:$G,$A4,'Stato patrimoniale'!$B:$B,1,'Stato patrimoniale'!$E:$E,"Azioni")</f>
        <v>0</v>
      </c>
      <c r="D4" s="61">
        <f t="shared" si="0"/>
        <v>0</v>
      </c>
      <c r="E4" s="62" t="str">
        <f t="shared" si="1"/>
        <v/>
      </c>
      <c r="O4" t="s">
        <v>290</v>
      </c>
      <c r="P4" s="61">
        <f>SUMIFS('Stato patrimoniale'!W:W,'Stato patrimoniale'!$AG:$AG,"&gt;0",'Stato patrimoniale'!$G:$G,$O4,'Stato patrimoniale'!$B:$B,1,'Stato patrimoniale'!$E:$E,"Azioni")</f>
        <v>502.048</v>
      </c>
      <c r="Q4" s="61">
        <f>SUMIFS('Stato patrimoniale'!AP:AP,'Stato patrimoniale'!$AG:$AG,"&gt;0",'Stato patrimoniale'!$G:$G,$O4,'Stato patrimoniale'!$B:$B,1,'Stato patrimoniale'!$E:$E,"Azioni")</f>
        <v>1069.3528000000001</v>
      </c>
      <c r="R4" s="61">
        <f t="shared" ref="R4:R14" si="2">Q4-P4</f>
        <v>567.30480000000011</v>
      </c>
      <c r="S4" s="62">
        <f t="shared" ref="S4:S14" si="3">IF(P4=0,"",R4/P4)</f>
        <v>1.1299811970170186</v>
      </c>
    </row>
    <row r="5" spans="1:19" x14ac:dyDescent="0.25">
      <c r="A5" t="s">
        <v>291</v>
      </c>
      <c r="B5" s="61">
        <f>SUMIFS('Stato patrimoniale'!W:W,'Stato patrimoniale'!$AG:$AG,"",'Stato patrimoniale'!$G:$G,$A5,'Stato patrimoniale'!$B:$B,1,'Stato patrimoniale'!$E:$E,"Azioni")</f>
        <v>0</v>
      </c>
      <c r="C5" s="61">
        <f>SUMIFS('Stato patrimoniale'!AD:AD,'Stato patrimoniale'!$AG:$AG,"",'Stato patrimoniale'!$G:$G,$A5,'Stato patrimoniale'!$B:$B,1,'Stato patrimoniale'!$E:$E,"Azioni")</f>
        <v>0</v>
      </c>
      <c r="D5" s="61">
        <f t="shared" si="0"/>
        <v>0</v>
      </c>
      <c r="E5" s="62" t="str">
        <f t="shared" si="1"/>
        <v/>
      </c>
      <c r="O5" t="s">
        <v>291</v>
      </c>
      <c r="P5" s="61">
        <f>SUMIFS('Stato patrimoniale'!W:W,'Stato patrimoniale'!$AG:$AG,"&gt;0",'Stato patrimoniale'!$G:$G,$O5,'Stato patrimoniale'!$B:$B,1,'Stato patrimoniale'!$E:$E,"Azioni")</f>
        <v>0</v>
      </c>
      <c r="Q5" s="61">
        <f>SUMIFS('Stato patrimoniale'!AP:AP,'Stato patrimoniale'!$AG:$AG,"&gt;0",'Stato patrimoniale'!$G:$G,$O5,'Stato patrimoniale'!$B:$B,1,'Stato patrimoniale'!$E:$E,"Azioni")</f>
        <v>0</v>
      </c>
      <c r="R5" s="61">
        <f t="shared" si="2"/>
        <v>0</v>
      </c>
      <c r="S5" s="62" t="str">
        <f t="shared" si="3"/>
        <v/>
      </c>
    </row>
    <row r="6" spans="1:19" x14ac:dyDescent="0.25">
      <c r="A6" t="s">
        <v>294</v>
      </c>
      <c r="B6" s="61">
        <f>SUMIFS('Stato patrimoniale'!W:W,'Stato patrimoniale'!$AG:$AG,"",'Stato patrimoniale'!$G:$G,$A6,'Stato patrimoniale'!$B:$B,1,'Stato patrimoniale'!$E:$E,"Azioni")</f>
        <v>0</v>
      </c>
      <c r="C6" s="61">
        <f>SUMIFS('Stato patrimoniale'!AD:AD,'Stato patrimoniale'!$AG:$AG,"",'Stato patrimoniale'!$G:$G,$A6,'Stato patrimoniale'!$B:$B,1,'Stato patrimoniale'!$E:$E,"Azioni")</f>
        <v>0</v>
      </c>
      <c r="D6" s="61">
        <f t="shared" si="0"/>
        <v>0</v>
      </c>
      <c r="E6" s="62" t="str">
        <f t="shared" si="1"/>
        <v/>
      </c>
      <c r="O6" t="s">
        <v>294</v>
      </c>
      <c r="P6" s="61">
        <f>SUMIFS('Stato patrimoniale'!W:W,'Stato patrimoniale'!$AG:$AG,"&gt;0",'Stato patrimoniale'!$G:$G,$O6,'Stato patrimoniale'!$B:$B,1,'Stato patrimoniale'!$E:$E,"Azioni")</f>
        <v>0</v>
      </c>
      <c r="Q6" s="61">
        <f>SUMIFS('Stato patrimoniale'!AP:AP,'Stato patrimoniale'!$AG:$AG,"&gt;0",'Stato patrimoniale'!$G:$G,$O6,'Stato patrimoniale'!$B:$B,1,'Stato patrimoniale'!$E:$E,"Azioni")</f>
        <v>0</v>
      </c>
      <c r="R6" s="61">
        <f t="shared" si="2"/>
        <v>0</v>
      </c>
      <c r="S6" s="62" t="str">
        <f t="shared" si="3"/>
        <v/>
      </c>
    </row>
    <row r="7" spans="1:19" x14ac:dyDescent="0.25">
      <c r="A7" t="s">
        <v>293</v>
      </c>
      <c r="B7" s="61">
        <f>SUMIFS('Stato patrimoniale'!W:W,'Stato patrimoniale'!$AG:$AG,"",'Stato patrimoniale'!$G:$G,$A7,'Stato patrimoniale'!$B:$B,1,'Stato patrimoniale'!$E:$E,"Azioni")</f>
        <v>0</v>
      </c>
      <c r="C7" s="61">
        <f>SUMIFS('Stato patrimoniale'!AD:AD,'Stato patrimoniale'!$AG:$AG,"",'Stato patrimoniale'!$G:$G,$A7,'Stato patrimoniale'!$B:$B,1,'Stato patrimoniale'!$E:$E,"Azioni")</f>
        <v>0</v>
      </c>
      <c r="D7" s="61">
        <f t="shared" si="0"/>
        <v>0</v>
      </c>
      <c r="E7" s="62" t="str">
        <f t="shared" si="1"/>
        <v/>
      </c>
      <c r="O7" t="s">
        <v>293</v>
      </c>
      <c r="P7" s="61">
        <f>SUMIFS('Stato patrimoniale'!W:W,'Stato patrimoniale'!$AG:$AG,"&gt;0",'Stato patrimoniale'!$G:$G,$O7,'Stato patrimoniale'!$B:$B,1,'Stato patrimoniale'!$E:$E,"Azioni")</f>
        <v>0</v>
      </c>
      <c r="Q7" s="61">
        <f>SUMIFS('Stato patrimoniale'!AP:AP,'Stato patrimoniale'!$AG:$AG,"&gt;0",'Stato patrimoniale'!$G:$G,$O7,'Stato patrimoniale'!$B:$B,1,'Stato patrimoniale'!$E:$E,"Azioni")</f>
        <v>0</v>
      </c>
      <c r="R7" s="61">
        <f t="shared" si="2"/>
        <v>0</v>
      </c>
      <c r="S7" s="62" t="str">
        <f t="shared" si="3"/>
        <v/>
      </c>
    </row>
    <row r="8" spans="1:19" x14ac:dyDescent="0.25">
      <c r="A8" t="s">
        <v>320</v>
      </c>
      <c r="B8" s="61">
        <f>SUMIFS('Stato patrimoniale'!W:W,'Stato patrimoniale'!$AG:$AG,"",'Stato patrimoniale'!$G:$G,$A8,'Stato patrimoniale'!$B:$B,1,'Stato patrimoniale'!$E:$E,"Azioni")</f>
        <v>25282.089479679998</v>
      </c>
      <c r="C8" s="61">
        <f ca="1">SUMIFS('Stato patrimoniale'!AD:AD,'Stato patrimoniale'!$AG:$AG,"",'Stato patrimoniale'!$G:$G,$A8,'Stato patrimoniale'!$B:$B,1,'Stato patrimoniale'!$E:$E,"Azioni")</f>
        <v>37161.269474515997</v>
      </c>
      <c r="D8" s="61">
        <f t="shared" ca="1" si="0"/>
        <v>11879.179994835999</v>
      </c>
      <c r="E8" s="62">
        <f t="shared" ca="1" si="1"/>
        <v>0.46986543593968627</v>
      </c>
      <c r="O8" t="s">
        <v>320</v>
      </c>
      <c r="P8" s="61">
        <f>SUMIFS('Stato patrimoniale'!W:W,'Stato patrimoniale'!$AG:$AG,"&gt;0",'Stato patrimoniale'!$G:$G,$O8,'Stato patrimoniale'!$B:$B,1,'Stato patrimoniale'!$E:$E,"Azioni")</f>
        <v>5004.9828562469802</v>
      </c>
      <c r="Q8" s="61">
        <f>SUMIFS('Stato patrimoniale'!AP:AP,'Stato patrimoniale'!$AG:$AG,"&gt;0",'Stato patrimoniale'!$G:$G,$O8,'Stato patrimoniale'!$B:$B,1,'Stato patrimoniale'!$E:$E,"Azioni")</f>
        <v>10563.873613759999</v>
      </c>
      <c r="R8" s="61">
        <f t="shared" si="2"/>
        <v>5558.8907575130188</v>
      </c>
      <c r="S8" s="62">
        <f t="shared" si="3"/>
        <v>1.1106712884290257</v>
      </c>
    </row>
    <row r="9" spans="1:19" x14ac:dyDescent="0.25">
      <c r="A9" t="s">
        <v>322</v>
      </c>
      <c r="B9" s="61">
        <f>SUMIFS('Stato patrimoniale'!W:W,'Stato patrimoniale'!$AG:$AG,"",'Stato patrimoniale'!$G:$G,$A9,'Stato patrimoniale'!$B:$B,1,'Stato patrimoniale'!$E:$E,"Azioni")</f>
        <v>0</v>
      </c>
      <c r="C9" s="61">
        <f>SUMIFS('Stato patrimoniale'!AD:AD,'Stato patrimoniale'!$AG:$AG,"",'Stato patrimoniale'!$G:$G,$A9,'Stato patrimoniale'!$B:$B,1,'Stato patrimoniale'!$E:$E,"Azioni")</f>
        <v>0</v>
      </c>
      <c r="D9" s="61">
        <f t="shared" si="0"/>
        <v>0</v>
      </c>
      <c r="E9" s="62" t="str">
        <f t="shared" si="1"/>
        <v/>
      </c>
      <c r="O9" t="s">
        <v>322</v>
      </c>
      <c r="P9" s="61">
        <f>SUMIFS('Stato patrimoniale'!W:W,'Stato patrimoniale'!$AG:$AG,"&gt;0",'Stato patrimoniale'!$G:$G,$O9,'Stato patrimoniale'!$B:$B,1,'Stato patrimoniale'!$E:$E,"Azioni")</f>
        <v>0</v>
      </c>
      <c r="Q9" s="61">
        <f>SUMIFS('Stato patrimoniale'!AP:AP,'Stato patrimoniale'!$AG:$AG,"&gt;0",'Stato patrimoniale'!$G:$G,$O9,'Stato patrimoniale'!$B:$B,1,'Stato patrimoniale'!$E:$E,"Azioni")</f>
        <v>0</v>
      </c>
      <c r="R9" s="61">
        <f t="shared" si="2"/>
        <v>0</v>
      </c>
      <c r="S9" s="62" t="str">
        <f t="shared" si="3"/>
        <v/>
      </c>
    </row>
    <row r="10" spans="1:19" x14ac:dyDescent="0.25">
      <c r="A10" t="s">
        <v>295</v>
      </c>
      <c r="B10" s="61">
        <f>SUMIFS('Stato patrimoniale'!W:W,'Stato patrimoniale'!$AG:$AG,"",'Stato patrimoniale'!$G:$G,$A10,'Stato patrimoniale'!$B:$B,1,'Stato patrimoniale'!$E:$E,"Azioni")</f>
        <v>0</v>
      </c>
      <c r="C10" s="61">
        <f>SUMIFS('Stato patrimoniale'!AD:AD,'Stato patrimoniale'!$AG:$AG,"",'Stato patrimoniale'!$G:$G,$A10,'Stato patrimoniale'!$B:$B,1,'Stato patrimoniale'!$E:$E,"Azioni")</f>
        <v>0</v>
      </c>
      <c r="D10" s="61">
        <f t="shared" si="0"/>
        <v>0</v>
      </c>
      <c r="E10" s="62" t="str">
        <f t="shared" si="1"/>
        <v/>
      </c>
      <c r="O10" t="s">
        <v>295</v>
      </c>
      <c r="P10" s="61">
        <f>SUMIFS('Stato patrimoniale'!W:W,'Stato patrimoniale'!$AG:$AG,"&gt;0",'Stato patrimoniale'!$G:$G,$O10,'Stato patrimoniale'!$B:$B,1,'Stato patrimoniale'!$E:$E,"Azioni")</f>
        <v>0</v>
      </c>
      <c r="Q10" s="61">
        <f>SUMIFS('Stato patrimoniale'!AP:AP,'Stato patrimoniale'!$AG:$AG,"&gt;0",'Stato patrimoniale'!$G:$G,$O10,'Stato patrimoniale'!$B:$B,1,'Stato patrimoniale'!$E:$E,"Azioni")</f>
        <v>0</v>
      </c>
      <c r="R10" s="61">
        <f t="shared" si="2"/>
        <v>0</v>
      </c>
      <c r="S10" s="62" t="str">
        <f t="shared" si="3"/>
        <v/>
      </c>
    </row>
    <row r="11" spans="1:19" x14ac:dyDescent="0.25">
      <c r="A11" t="s">
        <v>321</v>
      </c>
      <c r="B11" s="61">
        <f>SUMIFS('Stato patrimoniale'!W:W,'Stato patrimoniale'!$AG:$AG,"",'Stato patrimoniale'!$G:$G,$A11,'Stato patrimoniale'!$B:$B,1,'Stato patrimoniale'!$E:$E,"Azioni")</f>
        <v>0</v>
      </c>
      <c r="C11" s="61">
        <f>SUMIFS('Stato patrimoniale'!AD:AD,'Stato patrimoniale'!$AG:$AG,"",'Stato patrimoniale'!$G:$G,$A11,'Stato patrimoniale'!$B:$B,1,'Stato patrimoniale'!$E:$E,"Azioni")</f>
        <v>0</v>
      </c>
      <c r="D11" s="61">
        <f t="shared" si="0"/>
        <v>0</v>
      </c>
      <c r="E11" s="62" t="str">
        <f t="shared" si="1"/>
        <v/>
      </c>
      <c r="O11" t="s">
        <v>321</v>
      </c>
      <c r="P11" s="61">
        <f>SUMIFS('Stato patrimoniale'!W:W,'Stato patrimoniale'!$AG:$AG,"&gt;0",'Stato patrimoniale'!$G:$G,$O11,'Stato patrimoniale'!$B:$B,1,'Stato patrimoniale'!$E:$E,"Azioni")</f>
        <v>244.44</v>
      </c>
      <c r="Q11" s="61">
        <f>SUMIFS('Stato patrimoniale'!AP:AP,'Stato patrimoniale'!$AG:$AG,"&gt;0",'Stato patrimoniale'!$G:$G,$O11,'Stato patrimoniale'!$B:$B,1,'Stato patrimoniale'!$E:$E,"Azioni")</f>
        <v>500</v>
      </c>
      <c r="R11" s="61">
        <f t="shared" si="2"/>
        <v>255.56</v>
      </c>
      <c r="S11" s="62">
        <f t="shared" si="3"/>
        <v>1.0454917362133858</v>
      </c>
    </row>
    <row r="12" spans="1:19" x14ac:dyDescent="0.25">
      <c r="A12" t="s">
        <v>292</v>
      </c>
      <c r="B12" s="61">
        <f>SUMIFS('Stato patrimoniale'!W:W,'Stato patrimoniale'!$AG:$AG,"",'Stato patrimoniale'!$G:$G,$A12,'Stato patrimoniale'!$B:$B,1,'Stato patrimoniale'!$E:$E,"Azioni")</f>
        <v>0</v>
      </c>
      <c r="C12" s="61">
        <f>SUMIFS('Stato patrimoniale'!AD:AD,'Stato patrimoniale'!$AG:$AG,"",'Stato patrimoniale'!$G:$G,$A12,'Stato patrimoniale'!$B:$B,1,'Stato patrimoniale'!$E:$E,"Azioni")</f>
        <v>0</v>
      </c>
      <c r="D12" s="61">
        <f t="shared" si="0"/>
        <v>0</v>
      </c>
      <c r="E12" s="62" t="str">
        <f t="shared" si="1"/>
        <v/>
      </c>
      <c r="O12" t="s">
        <v>292</v>
      </c>
      <c r="P12" s="61">
        <f>SUMIFS('Stato patrimoniale'!W:W,'Stato patrimoniale'!$AG:$AG,"&gt;0",'Stato patrimoniale'!$G:$G,$O12,'Stato patrimoniale'!$B:$B,1,'Stato patrimoniale'!$E:$E,"Azioni")</f>
        <v>249.53399999999999</v>
      </c>
      <c r="Q12" s="61">
        <f>SUMIFS('Stato patrimoniale'!AP:AP,'Stato patrimoniale'!$AG:$AG,"&gt;0",'Stato patrimoniale'!$G:$G,$O12,'Stato patrimoniale'!$B:$B,1,'Stato patrimoniale'!$E:$E,"Azioni")</f>
        <v>167.19160000000002</v>
      </c>
      <c r="R12" s="61">
        <f t="shared" si="2"/>
        <v>-82.342399999999969</v>
      </c>
      <c r="S12" s="62">
        <f t="shared" si="3"/>
        <v>-0.32998469146489046</v>
      </c>
    </row>
    <row r="13" spans="1:19" x14ac:dyDescent="0.25">
      <c r="A13" t="s">
        <v>323</v>
      </c>
      <c r="B13" s="61">
        <f>SUMIFS('Stato patrimoniale'!W:W,'Stato patrimoniale'!$AG:$AG,"",'Stato patrimoniale'!$G:$G,$A13,'Stato patrimoniale'!$B:$B,1,'Stato patrimoniale'!$E:$E,"Azioni")</f>
        <v>0</v>
      </c>
      <c r="C13" s="61">
        <f>SUMIFS('Stato patrimoniale'!AD:AD,'Stato patrimoniale'!$AG:$AG,"",'Stato patrimoniale'!$G:$G,$A13,'Stato patrimoniale'!$B:$B,1,'Stato patrimoniale'!$E:$E,"Azioni")</f>
        <v>0</v>
      </c>
      <c r="D13" s="61">
        <f t="shared" si="0"/>
        <v>0</v>
      </c>
      <c r="E13" s="62" t="str">
        <f t="shared" si="1"/>
        <v/>
      </c>
      <c r="O13" t="s">
        <v>323</v>
      </c>
      <c r="P13" s="61">
        <f>SUMIFS('Stato patrimoniale'!W:W,'Stato patrimoniale'!$AG:$AG,"&gt;0",'Stato patrimoniale'!$G:$G,$O13,'Stato patrimoniale'!$B:$B,1,'Stato patrimoniale'!$E:$E,"Azioni")</f>
        <v>256.95</v>
      </c>
      <c r="Q13" s="61">
        <f>SUMIFS('Stato patrimoniale'!AP:AP,'Stato patrimoniale'!$AG:$AG,"&gt;0",'Stato patrimoniale'!$G:$G,$O13,'Stato patrimoniale'!$B:$B,1,'Stato patrimoniale'!$E:$E,"Azioni")</f>
        <v>545.8374</v>
      </c>
      <c r="R13" s="61">
        <f t="shared" si="2"/>
        <v>288.88740000000001</v>
      </c>
      <c r="S13" s="62">
        <f t="shared" si="3"/>
        <v>1.1242942206654993</v>
      </c>
    </row>
    <row r="14" spans="1:19" x14ac:dyDescent="0.25">
      <c r="A14" t="s">
        <v>338</v>
      </c>
      <c r="B14" s="61">
        <f>SUMIFS('Stato patrimoniale'!W:W,'Stato patrimoniale'!$AG:$AG,"",'Stato patrimoniale'!$G:$G,$A14,'Stato patrimoniale'!$B:$B,1,'Stato patrimoniale'!$E:$E,"Azioni")</f>
        <v>0</v>
      </c>
      <c r="C14" s="61">
        <f>SUMIFS('Stato patrimoniale'!AD:AD,'Stato patrimoniale'!$AG:$AG,"",'Stato patrimoniale'!$G:$G,$A14,'Stato patrimoniale'!$B:$B,1,'Stato patrimoniale'!$E:$E,"Azioni")</f>
        <v>0</v>
      </c>
      <c r="D14" s="61">
        <f t="shared" si="0"/>
        <v>0</v>
      </c>
      <c r="E14" s="62" t="str">
        <f t="shared" si="1"/>
        <v/>
      </c>
      <c r="O14" t="s">
        <v>338</v>
      </c>
      <c r="P14" s="61">
        <f>SUMIFS('Stato patrimoniale'!W:W,'Stato patrimoniale'!$AG:$AG,"&gt;0",'Stato patrimoniale'!$G:$G,$O14,'Stato patrimoniale'!$B:$B,1,'Stato patrimoniale'!$E:$E,"Azioni")</f>
        <v>0</v>
      </c>
      <c r="Q14" s="61">
        <f>SUMIFS('Stato patrimoniale'!AP:AP,'Stato patrimoniale'!$AG:$AG,"&gt;0",'Stato patrimoniale'!$G:$G,$O14,'Stato patrimoniale'!$B:$B,1,'Stato patrimoniale'!$E:$E,"Azioni")</f>
        <v>0</v>
      </c>
      <c r="R14" s="61">
        <f t="shared" si="2"/>
        <v>0</v>
      </c>
      <c r="S14" s="62" t="str">
        <f t="shared" si="3"/>
        <v/>
      </c>
    </row>
  </sheetData>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F937-7CB4-40DA-AB38-29808157948E}">
  <sheetPr codeName="Sheet13"/>
  <dimension ref="A1:S14"/>
  <sheetViews>
    <sheetView workbookViewId="0">
      <selection activeCell="R16" sqref="R16"/>
    </sheetView>
  </sheetViews>
  <sheetFormatPr defaultRowHeight="15" x14ac:dyDescent="0.25"/>
  <cols>
    <col min="1" max="1" width="10" customWidth="1"/>
    <col min="2" max="2" width="9" style="61" bestFit="1" customWidth="1"/>
    <col min="3" max="3" width="9" bestFit="1" customWidth="1"/>
    <col min="4" max="4" width="7.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277</v>
      </c>
      <c r="B2" s="63" t="s">
        <v>281</v>
      </c>
      <c r="C2" s="9" t="s">
        <v>282</v>
      </c>
      <c r="D2" s="9" t="s">
        <v>14</v>
      </c>
      <c r="E2" s="9" t="s">
        <v>20</v>
      </c>
      <c r="O2" s="9" t="s">
        <v>277</v>
      </c>
      <c r="P2" s="63" t="s">
        <v>281</v>
      </c>
      <c r="Q2" s="9" t="s">
        <v>284</v>
      </c>
      <c r="R2" s="9" t="s">
        <v>285</v>
      </c>
      <c r="S2" s="9" t="s">
        <v>283</v>
      </c>
    </row>
    <row r="3" spans="1:19" x14ac:dyDescent="0.25">
      <c r="A3" t="s">
        <v>338</v>
      </c>
      <c r="B3" s="61">
        <f>SUMIFS('Stato patrimoniale'!W:W,'Stato patrimoniale'!$AG:$AG,"",'Stato patrimoniale'!$G:$G,$A3,'Stato patrimoniale'!$B:$B,1,'Stato patrimoniale'!$E:$E,"Obblig")</f>
        <v>84452.010450000002</v>
      </c>
      <c r="C3" s="61">
        <f ca="1">SUMIFS('Stato patrimoniale'!AD:AD,'Stato patrimoniale'!$AG:$AG,"",'Stato patrimoniale'!$G:$G,$A3,'Stato patrimoniale'!$B:$B,1,'Stato patrimoniale'!$E:$E,"Obblig")</f>
        <v>87165.593860726032</v>
      </c>
      <c r="D3" s="61">
        <f t="shared" ref="D3:D14" ca="1" si="0">C3-B3</f>
        <v>2713.5834107260307</v>
      </c>
      <c r="E3" s="62">
        <f t="shared" ref="E3:E14" ca="1" si="1">IF(B3=0,"",D3/B3)</f>
        <v>3.2131661475751527E-2</v>
      </c>
      <c r="O3" t="s">
        <v>338</v>
      </c>
      <c r="P3" s="61">
        <f>SUMIFS('Stato patrimoniale'!W:W,'Stato patrimoniale'!$AG:$AG,"&gt;0",'Stato patrimoniale'!$G:$G,$O3,'Stato patrimoniale'!$B:$B,1,'Stato patrimoniale'!$E:$E,"Obblig")</f>
        <v>16243.57132275</v>
      </c>
      <c r="Q3" s="61">
        <f>SUMIFS('Stato patrimoniale'!AP:AP,'Stato patrimoniale'!$AG:$AG,"&gt;0",'Stato patrimoniale'!$G:$G,$O3,'Stato patrimoniale'!$B:$B,1,'Stato patrimoniale'!$E:$E,"Obblig")</f>
        <v>17019.299662883885</v>
      </c>
      <c r="R3" s="61">
        <f>Q3-P3</f>
        <v>775.72834013388456</v>
      </c>
      <c r="S3" s="62">
        <f>IF(P3=0,"",R3/P3)</f>
        <v>4.7756021426608015E-2</v>
      </c>
    </row>
    <row r="4" spans="1:19" x14ac:dyDescent="0.25">
      <c r="A4" t="s">
        <v>289</v>
      </c>
      <c r="B4" s="61">
        <f>SUMIFS('Stato patrimoniale'!W:W,'Stato patrimoniale'!$AG:$AG,"",'Stato patrimoniale'!$G:$G,$A4,'Stato patrimoniale'!$B:$B,1,'Stato patrimoniale'!$E:$E,"Obblig")</f>
        <v>0</v>
      </c>
      <c r="C4" s="61">
        <f>SUMIFS('Stato patrimoniale'!AD:AD,'Stato patrimoniale'!$AG:$AG,"",'Stato patrimoniale'!$G:$G,$A4,'Stato patrimoniale'!$B:$B,1,'Stato patrimoniale'!$E:$E,"Obblig")</f>
        <v>0</v>
      </c>
      <c r="D4" s="61">
        <f t="shared" si="0"/>
        <v>0</v>
      </c>
      <c r="E4" s="62" t="str">
        <f t="shared" si="1"/>
        <v/>
      </c>
      <c r="O4" t="s">
        <v>289</v>
      </c>
      <c r="P4" s="61">
        <f>SUMIFS('Stato patrimoniale'!W:W,'Stato patrimoniale'!$AG:$AG,"&gt;0",'Stato patrimoniale'!$G:$G,$O4,'Stato patrimoniale'!$B:$B,1,'Stato patrimoniale'!$E:$E,"Obblig")</f>
        <v>0</v>
      </c>
      <c r="Q4" s="61">
        <f>SUMIFS('Stato patrimoniale'!AP:AP,'Stato patrimoniale'!$AG:$AG,"&gt;0",'Stato patrimoniale'!$G:$G,$O4,'Stato patrimoniale'!$B:$B,1,'Stato patrimoniale'!$E:$E,"Obblig")</f>
        <v>0</v>
      </c>
      <c r="R4" s="61">
        <f t="shared" ref="R4:R14" si="2">Q4-P4</f>
        <v>0</v>
      </c>
      <c r="S4" s="62" t="str">
        <f t="shared" ref="S4:S14" si="3">IF(P4=0,"",R4/P4)</f>
        <v/>
      </c>
    </row>
    <row r="5" spans="1:19" x14ac:dyDescent="0.25">
      <c r="A5" t="s">
        <v>290</v>
      </c>
      <c r="B5" s="61">
        <f>SUMIFS('Stato patrimoniale'!W:W,'Stato patrimoniale'!$AG:$AG,"",'Stato patrimoniale'!$G:$G,$A5,'Stato patrimoniale'!$B:$B,1,'Stato patrimoniale'!$E:$E,"Obblig")</f>
        <v>0</v>
      </c>
      <c r="C5" s="61">
        <f>SUMIFS('Stato patrimoniale'!AD:AD,'Stato patrimoniale'!$AG:$AG,"",'Stato patrimoniale'!$G:$G,$A5,'Stato patrimoniale'!$B:$B,1,'Stato patrimoniale'!$E:$E,"Obblig")</f>
        <v>0</v>
      </c>
      <c r="D5" s="61">
        <f t="shared" si="0"/>
        <v>0</v>
      </c>
      <c r="E5" s="62" t="str">
        <f t="shared" si="1"/>
        <v/>
      </c>
      <c r="O5" t="s">
        <v>290</v>
      </c>
      <c r="P5" s="61">
        <f>SUMIFS('Stato patrimoniale'!W:W,'Stato patrimoniale'!$AG:$AG,"&gt;0",'Stato patrimoniale'!$G:$G,$O5,'Stato patrimoniale'!$B:$B,1,'Stato patrimoniale'!$E:$E,"Obblig")</f>
        <v>0</v>
      </c>
      <c r="Q5" s="61">
        <f>SUMIFS('Stato patrimoniale'!AP:AP,'Stato patrimoniale'!$AG:$AG,"&gt;0",'Stato patrimoniale'!$G:$G,$O5,'Stato patrimoniale'!$B:$B,1,'Stato patrimoniale'!$E:$E,"Obblig")</f>
        <v>0</v>
      </c>
      <c r="R5" s="61">
        <f t="shared" si="2"/>
        <v>0</v>
      </c>
      <c r="S5" s="62" t="str">
        <f t="shared" si="3"/>
        <v/>
      </c>
    </row>
    <row r="6" spans="1:19" x14ac:dyDescent="0.25">
      <c r="A6" t="s">
        <v>291</v>
      </c>
      <c r="B6" s="61">
        <f>SUMIFS('Stato patrimoniale'!W:W,'Stato patrimoniale'!$AG:$AG,"",'Stato patrimoniale'!$G:$G,$A6,'Stato patrimoniale'!$B:$B,1,'Stato patrimoniale'!$E:$E,"Obblig")</f>
        <v>0</v>
      </c>
      <c r="C6" s="61">
        <f>SUMIFS('Stato patrimoniale'!AD:AD,'Stato patrimoniale'!$AG:$AG,"",'Stato patrimoniale'!$G:$G,$A6,'Stato patrimoniale'!$B:$B,1,'Stato patrimoniale'!$E:$E,"Obblig")</f>
        <v>0</v>
      </c>
      <c r="D6" s="61">
        <f t="shared" si="0"/>
        <v>0</v>
      </c>
      <c r="E6" s="62" t="str">
        <f t="shared" si="1"/>
        <v/>
      </c>
      <c r="O6" t="s">
        <v>291</v>
      </c>
      <c r="P6" s="61">
        <f>SUMIFS('Stato patrimoniale'!W:W,'Stato patrimoniale'!$AG:$AG,"&gt;0",'Stato patrimoniale'!$G:$G,$O6,'Stato patrimoniale'!$B:$B,1,'Stato patrimoniale'!$E:$E,"Obblig")</f>
        <v>0</v>
      </c>
      <c r="Q6" s="61">
        <f>SUMIFS('Stato patrimoniale'!AP:AP,'Stato patrimoniale'!$AG:$AG,"&gt;0",'Stato patrimoniale'!$G:$G,$O6,'Stato patrimoniale'!$B:$B,1,'Stato patrimoniale'!$E:$E,"Obblig")</f>
        <v>0</v>
      </c>
      <c r="R6" s="61">
        <f t="shared" si="2"/>
        <v>0</v>
      </c>
      <c r="S6" s="62" t="str">
        <f t="shared" si="3"/>
        <v/>
      </c>
    </row>
    <row r="7" spans="1:19" x14ac:dyDescent="0.25">
      <c r="A7" t="s">
        <v>294</v>
      </c>
      <c r="B7" s="61">
        <f>SUMIFS('Stato patrimoniale'!W:W,'Stato patrimoniale'!$AG:$AG,"",'Stato patrimoniale'!$G:$G,$A7,'Stato patrimoniale'!$B:$B,1,'Stato patrimoniale'!$E:$E,"Obblig")</f>
        <v>0</v>
      </c>
      <c r="C7" s="61">
        <f>SUMIFS('Stato patrimoniale'!AD:AD,'Stato patrimoniale'!$AG:$AG,"",'Stato patrimoniale'!$G:$G,$A7,'Stato patrimoniale'!$B:$B,1,'Stato patrimoniale'!$E:$E,"Obblig")</f>
        <v>0</v>
      </c>
      <c r="D7" s="61">
        <f t="shared" si="0"/>
        <v>0</v>
      </c>
      <c r="E7" s="62" t="str">
        <f t="shared" si="1"/>
        <v/>
      </c>
      <c r="O7" t="s">
        <v>294</v>
      </c>
      <c r="P7" s="61">
        <f>SUMIFS('Stato patrimoniale'!W:W,'Stato patrimoniale'!$AG:$AG,"&gt;0",'Stato patrimoniale'!$G:$G,$O7,'Stato patrimoniale'!$B:$B,1,'Stato patrimoniale'!$E:$E,"Obblig")</f>
        <v>0</v>
      </c>
      <c r="Q7" s="61">
        <f>SUMIFS('Stato patrimoniale'!AP:AP,'Stato patrimoniale'!$AG:$AG,"&gt;0",'Stato patrimoniale'!$G:$G,$O7,'Stato patrimoniale'!$B:$B,1,'Stato patrimoniale'!$E:$E,"Obblig")</f>
        <v>0</v>
      </c>
      <c r="R7" s="61">
        <f t="shared" si="2"/>
        <v>0</v>
      </c>
      <c r="S7" s="62" t="str">
        <f t="shared" si="3"/>
        <v/>
      </c>
    </row>
    <row r="8" spans="1:19" x14ac:dyDescent="0.25">
      <c r="A8" t="s">
        <v>293</v>
      </c>
      <c r="B8" s="61">
        <f>SUMIFS('Stato patrimoniale'!W:W,'Stato patrimoniale'!$AG:$AG,"",'Stato patrimoniale'!$G:$G,$A8,'Stato patrimoniale'!$B:$B,1,'Stato patrimoniale'!$E:$E,"Obblig")</f>
        <v>0</v>
      </c>
      <c r="C8" s="61">
        <f>SUMIFS('Stato patrimoniale'!AD:AD,'Stato patrimoniale'!$AG:$AG,"",'Stato patrimoniale'!$G:$G,$A8,'Stato patrimoniale'!$B:$B,1,'Stato patrimoniale'!$E:$E,"Obblig")</f>
        <v>0</v>
      </c>
      <c r="D8" s="61">
        <f t="shared" si="0"/>
        <v>0</v>
      </c>
      <c r="E8" s="62" t="str">
        <f t="shared" si="1"/>
        <v/>
      </c>
      <c r="O8" t="s">
        <v>293</v>
      </c>
      <c r="P8" s="61">
        <f>SUMIFS('Stato patrimoniale'!W:W,'Stato patrimoniale'!$AG:$AG,"&gt;0",'Stato patrimoniale'!$G:$G,$O8,'Stato patrimoniale'!$B:$B,1,'Stato patrimoniale'!$E:$E,"Obblig")</f>
        <v>0</v>
      </c>
      <c r="Q8" s="61">
        <f>SUMIFS('Stato patrimoniale'!AP:AP,'Stato patrimoniale'!$AG:$AG,"&gt;0",'Stato patrimoniale'!$G:$G,$O8,'Stato patrimoniale'!$B:$B,1,'Stato patrimoniale'!$E:$E,"Obblig")</f>
        <v>0</v>
      </c>
      <c r="R8" s="61">
        <f t="shared" si="2"/>
        <v>0</v>
      </c>
      <c r="S8" s="62" t="str">
        <f t="shared" si="3"/>
        <v/>
      </c>
    </row>
    <row r="9" spans="1:19" x14ac:dyDescent="0.25">
      <c r="A9" t="s">
        <v>320</v>
      </c>
      <c r="B9" s="61">
        <f>SUMIFS('Stato patrimoniale'!W:W,'Stato patrimoniale'!$AG:$AG,"",'Stato patrimoniale'!$G:$G,$A9,'Stato patrimoniale'!$B:$B,1,'Stato patrimoniale'!$E:$E,"Obblig")</f>
        <v>0</v>
      </c>
      <c r="C9" s="61">
        <f>SUMIFS('Stato patrimoniale'!AD:AD,'Stato patrimoniale'!$AG:$AG,"",'Stato patrimoniale'!$G:$G,$A9,'Stato patrimoniale'!$B:$B,1,'Stato patrimoniale'!$E:$E,"Obblig")</f>
        <v>0</v>
      </c>
      <c r="D9" s="61">
        <f t="shared" si="0"/>
        <v>0</v>
      </c>
      <c r="E9" s="62" t="str">
        <f t="shared" si="1"/>
        <v/>
      </c>
      <c r="O9" t="s">
        <v>320</v>
      </c>
      <c r="P9" s="61">
        <f>SUMIFS('Stato patrimoniale'!W:W,'Stato patrimoniale'!$AG:$AG,"&gt;0",'Stato patrimoniale'!$G:$G,$O9,'Stato patrimoniale'!$B:$B,1,'Stato patrimoniale'!$E:$E,"Obblig")</f>
        <v>0</v>
      </c>
      <c r="Q9" s="61">
        <f>SUMIFS('Stato patrimoniale'!AP:AP,'Stato patrimoniale'!$AG:$AG,"&gt;0",'Stato patrimoniale'!$G:$G,$O9,'Stato patrimoniale'!$B:$B,1,'Stato patrimoniale'!$E:$E,"Obblig")</f>
        <v>0</v>
      </c>
      <c r="R9" s="61">
        <f t="shared" si="2"/>
        <v>0</v>
      </c>
      <c r="S9" s="62" t="str">
        <f t="shared" si="3"/>
        <v/>
      </c>
    </row>
    <row r="10" spans="1:19" x14ac:dyDescent="0.25">
      <c r="A10" t="s">
        <v>322</v>
      </c>
      <c r="B10" s="61">
        <f>SUMIFS('Stato patrimoniale'!W:W,'Stato patrimoniale'!$AG:$AG,"",'Stato patrimoniale'!$G:$G,$A10,'Stato patrimoniale'!$B:$B,1,'Stato patrimoniale'!$E:$E,"Obblig")</f>
        <v>0</v>
      </c>
      <c r="C10" s="61">
        <f>SUMIFS('Stato patrimoniale'!AD:AD,'Stato patrimoniale'!$AG:$AG,"",'Stato patrimoniale'!$G:$G,$A10,'Stato patrimoniale'!$B:$B,1,'Stato patrimoniale'!$E:$E,"Obblig")</f>
        <v>0</v>
      </c>
      <c r="D10" s="61">
        <f t="shared" si="0"/>
        <v>0</v>
      </c>
      <c r="E10" s="62" t="str">
        <f t="shared" si="1"/>
        <v/>
      </c>
      <c r="O10" t="s">
        <v>322</v>
      </c>
      <c r="P10" s="61">
        <f>SUMIFS('Stato patrimoniale'!W:W,'Stato patrimoniale'!$AG:$AG,"&gt;0",'Stato patrimoniale'!$G:$G,$O10,'Stato patrimoniale'!$B:$B,1,'Stato patrimoniale'!$E:$E,"Obblig")</f>
        <v>0</v>
      </c>
      <c r="Q10" s="61">
        <f>SUMIFS('Stato patrimoniale'!AP:AP,'Stato patrimoniale'!$AG:$AG,"&gt;0",'Stato patrimoniale'!$G:$G,$O10,'Stato patrimoniale'!$B:$B,1,'Stato patrimoniale'!$E:$E,"Obblig")</f>
        <v>0</v>
      </c>
      <c r="R10" s="61">
        <f t="shared" si="2"/>
        <v>0</v>
      </c>
      <c r="S10" s="62" t="str">
        <f t="shared" si="3"/>
        <v/>
      </c>
    </row>
    <row r="11" spans="1:19" x14ac:dyDescent="0.25">
      <c r="A11" t="s">
        <v>295</v>
      </c>
      <c r="B11" s="61">
        <f>SUMIFS('Stato patrimoniale'!W:W,'Stato patrimoniale'!$AG:$AG,"",'Stato patrimoniale'!$G:$G,$A11,'Stato patrimoniale'!$B:$B,1,'Stato patrimoniale'!$E:$E,"Obblig")</f>
        <v>0</v>
      </c>
      <c r="C11" s="61">
        <f>SUMIFS('Stato patrimoniale'!AD:AD,'Stato patrimoniale'!$AG:$AG,"",'Stato patrimoniale'!$G:$G,$A11,'Stato patrimoniale'!$B:$B,1,'Stato patrimoniale'!$E:$E,"Obblig")</f>
        <v>0</v>
      </c>
      <c r="D11" s="61">
        <f t="shared" si="0"/>
        <v>0</v>
      </c>
      <c r="E11" s="62" t="str">
        <f t="shared" si="1"/>
        <v/>
      </c>
      <c r="O11" t="s">
        <v>295</v>
      </c>
      <c r="P11" s="61">
        <f>SUMIFS('Stato patrimoniale'!W:W,'Stato patrimoniale'!$AG:$AG,"&gt;0",'Stato patrimoniale'!$G:$G,$O11,'Stato patrimoniale'!$B:$B,1,'Stato patrimoniale'!$E:$E,"Obblig")</f>
        <v>0</v>
      </c>
      <c r="Q11" s="61">
        <f>SUMIFS('Stato patrimoniale'!AP:AP,'Stato patrimoniale'!$AG:$AG,"&gt;0",'Stato patrimoniale'!$G:$G,$O11,'Stato patrimoniale'!$B:$B,1,'Stato patrimoniale'!$E:$E,"Obblig")</f>
        <v>0</v>
      </c>
      <c r="R11" s="61">
        <f t="shared" si="2"/>
        <v>0</v>
      </c>
      <c r="S11" s="62" t="str">
        <f t="shared" si="3"/>
        <v/>
      </c>
    </row>
    <row r="12" spans="1:19" x14ac:dyDescent="0.25">
      <c r="A12" t="s">
        <v>321</v>
      </c>
      <c r="B12" s="61">
        <f>SUMIFS('Stato patrimoniale'!W:W,'Stato patrimoniale'!$AG:$AG,"",'Stato patrimoniale'!$G:$G,$A12,'Stato patrimoniale'!$B:$B,1,'Stato patrimoniale'!$E:$E,"Obblig")</f>
        <v>17554.942000000003</v>
      </c>
      <c r="C12" s="61">
        <f ca="1">SUMIFS('Stato patrimoniale'!AD:AD,'Stato patrimoniale'!$AG:$AG,"",'Stato patrimoniale'!$G:$G,$A12,'Stato patrimoniale'!$B:$B,1,'Stato patrimoniale'!$E:$E,"Obblig")</f>
        <v>17921.142033905242</v>
      </c>
      <c r="D12" s="61">
        <f t="shared" ca="1" si="0"/>
        <v>366.20003390523925</v>
      </c>
      <c r="E12" s="62">
        <f t="shared" ca="1" si="1"/>
        <v>2.0860224653846147E-2</v>
      </c>
      <c r="O12" t="s">
        <v>321</v>
      </c>
      <c r="P12" s="61">
        <f>SUMIFS('Stato patrimoniale'!W:W,'Stato patrimoniale'!$AG:$AG,"&gt;0",'Stato patrimoniale'!$G:$G,$O12,'Stato patrimoniale'!$B:$B,1,'Stato patrimoniale'!$E:$E,"Obblig")</f>
        <v>0</v>
      </c>
      <c r="Q12" s="61">
        <f>SUMIFS('Stato patrimoniale'!AP:AP,'Stato patrimoniale'!$AG:$AG,"&gt;0",'Stato patrimoniale'!$G:$G,$O12,'Stato patrimoniale'!$B:$B,1,'Stato patrimoniale'!$E:$E,"Obblig")</f>
        <v>0</v>
      </c>
      <c r="R12" s="61">
        <f t="shared" si="2"/>
        <v>0</v>
      </c>
      <c r="S12" s="62" t="str">
        <f t="shared" si="3"/>
        <v/>
      </c>
    </row>
    <row r="13" spans="1:19" x14ac:dyDescent="0.25">
      <c r="A13" t="s">
        <v>292</v>
      </c>
      <c r="B13" s="61">
        <f>SUMIFS('Stato patrimoniale'!W:W,'Stato patrimoniale'!$AG:$AG,"",'Stato patrimoniale'!$G:$G,$A13,'Stato patrimoniale'!$B:$B,1,'Stato patrimoniale'!$E:$E,"Obblig")</f>
        <v>0</v>
      </c>
      <c r="C13" s="61">
        <f>SUMIFS('Stato patrimoniale'!AD:AD,'Stato patrimoniale'!$AG:$AG,"",'Stato patrimoniale'!$G:$G,$A13,'Stato patrimoniale'!$B:$B,1,'Stato patrimoniale'!$E:$E,"Obblig")</f>
        <v>0</v>
      </c>
      <c r="D13" s="61">
        <f t="shared" si="0"/>
        <v>0</v>
      </c>
      <c r="E13" s="62" t="str">
        <f t="shared" si="1"/>
        <v/>
      </c>
      <c r="O13" t="s">
        <v>292</v>
      </c>
      <c r="P13" s="61">
        <f>SUMIFS('Stato patrimoniale'!W:W,'Stato patrimoniale'!$AG:$AG,"&gt;0",'Stato patrimoniale'!$G:$G,$O13,'Stato patrimoniale'!$B:$B,1,'Stato patrimoniale'!$E:$E,"Obblig")</f>
        <v>0</v>
      </c>
      <c r="Q13" s="61">
        <f>SUMIFS('Stato patrimoniale'!AP:AP,'Stato patrimoniale'!$AG:$AG,"&gt;0",'Stato patrimoniale'!$G:$G,$O13,'Stato patrimoniale'!$B:$B,1,'Stato patrimoniale'!$E:$E,"Obblig")</f>
        <v>0</v>
      </c>
      <c r="R13" s="61">
        <f t="shared" si="2"/>
        <v>0</v>
      </c>
      <c r="S13" s="62" t="str">
        <f t="shared" si="3"/>
        <v/>
      </c>
    </row>
    <row r="14" spans="1:19" x14ac:dyDescent="0.25">
      <c r="A14" t="s">
        <v>323</v>
      </c>
      <c r="B14" s="61">
        <f>SUMIFS('Stato patrimoniale'!W:W,'Stato patrimoniale'!$AG:$AG,"",'Stato patrimoniale'!$G:$G,$A14,'Stato patrimoniale'!$B:$B,1,'Stato patrimoniale'!$E:$E,"Obblig")</f>
        <v>0</v>
      </c>
      <c r="C14" s="61">
        <f>SUMIFS('Stato patrimoniale'!AD:AD,'Stato patrimoniale'!$AG:$AG,"",'Stato patrimoniale'!$G:$G,$A14,'Stato patrimoniale'!$B:$B,1,'Stato patrimoniale'!$E:$E,"Obblig")</f>
        <v>0</v>
      </c>
      <c r="D14" s="61">
        <f t="shared" si="0"/>
        <v>0</v>
      </c>
      <c r="E14" s="62" t="str">
        <f t="shared" si="1"/>
        <v/>
      </c>
      <c r="O14" t="s">
        <v>323</v>
      </c>
      <c r="P14" s="61">
        <f>SUMIFS('Stato patrimoniale'!W:W,'Stato patrimoniale'!$AG:$AG,"&gt;0",'Stato patrimoniale'!$G:$G,$O14,'Stato patrimoniale'!$B:$B,1,'Stato patrimoniale'!$E:$E,"Obblig")</f>
        <v>0</v>
      </c>
      <c r="Q14" s="61">
        <f>SUMIFS('Stato patrimoniale'!AP:AP,'Stato patrimoniale'!$AG:$AG,"&gt;0",'Stato patrimoniale'!$G:$G,$O14,'Stato patrimoniale'!$B:$B,1,'Stato patrimoniale'!$E:$E,"Obblig")</f>
        <v>0</v>
      </c>
      <c r="R14" s="61">
        <f t="shared" si="2"/>
        <v>0</v>
      </c>
      <c r="S14" s="62" t="str">
        <f t="shared" si="3"/>
        <v/>
      </c>
    </row>
  </sheetData>
  <sortState xmlns:xlrd2="http://schemas.microsoft.com/office/spreadsheetml/2017/richdata2" ref="A3:E14">
    <sortCondition descending="1" ref="C3:C14"/>
  </sortState>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DDFFE-2FE6-451A-A365-7FCC303936B8}">
  <sheetPr codeName="Sheet14"/>
  <dimension ref="A1:S13"/>
  <sheetViews>
    <sheetView topLeftCell="G1" workbookViewId="0">
      <selection activeCell="O6" sqref="O6"/>
    </sheetView>
  </sheetViews>
  <sheetFormatPr defaultRowHeight="15" x14ac:dyDescent="0.25"/>
  <cols>
    <col min="1" max="1" width="10" customWidth="1"/>
    <col min="2" max="2" width="9" style="61" bestFit="1" customWidth="1"/>
    <col min="3" max="3" width="9" bestFit="1" customWidth="1"/>
    <col min="4" max="4" width="7.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296</v>
      </c>
      <c r="B2" s="63" t="s">
        <v>281</v>
      </c>
      <c r="C2" s="9" t="s">
        <v>282</v>
      </c>
      <c r="D2" s="9" t="s">
        <v>14</v>
      </c>
      <c r="E2" s="9" t="s">
        <v>20</v>
      </c>
      <c r="O2" s="9" t="s">
        <v>296</v>
      </c>
      <c r="P2" s="63" t="s">
        <v>281</v>
      </c>
      <c r="Q2" s="9" t="s">
        <v>284</v>
      </c>
      <c r="R2" s="9" t="s">
        <v>285</v>
      </c>
      <c r="S2" s="9" t="s">
        <v>283</v>
      </c>
    </row>
    <row r="3" spans="1:19" x14ac:dyDescent="0.25">
      <c r="A3" t="s">
        <v>299</v>
      </c>
      <c r="B3" s="61">
        <f>SUMIFS('Stato patrimoniale'!W:W,'Stato patrimoniale'!$AG:$AG,"",'Stato patrimoniale'!$H:$H,$A3,'Stato patrimoniale'!$B:$B,1)</f>
        <v>29356.832000000002</v>
      </c>
      <c r="C3" s="61">
        <f ca="1">SUMIFS('Stato patrimoniale'!AD:AD,'Stato patrimoniale'!$AG:$AG,"",'Stato patrimoniale'!$H:$H,$A3,'Stato patrimoniale'!$B:$B,1)</f>
        <v>31902.76206035725</v>
      </c>
      <c r="D3" s="61">
        <f t="shared" ref="D3:D12" ca="1" si="0">C3-B3</f>
        <v>2545.9300603572483</v>
      </c>
      <c r="E3" s="62">
        <f t="shared" ref="E3:E12" ca="1" si="1">IF(B3=0,"",D3/B3)</f>
        <v>8.6723596754487958E-2</v>
      </c>
      <c r="O3" t="s">
        <v>299</v>
      </c>
      <c r="P3" s="61">
        <f>SUMIFS('Stato patrimoniale'!W:W,'Stato patrimoniale'!$AG:$AG,"&gt;0",'Stato patrimoniale'!$H:$H,$O3,'Stato patrimoniale'!$B:$B,1)</f>
        <v>1507.4</v>
      </c>
      <c r="Q3" s="61">
        <f>SUMIFS('Stato patrimoniale'!AP:AP,'Stato patrimoniale'!$AG:$AG,"&gt;0",'Stato patrimoniale'!$H:$H,$O3,'Stato patrimoniale'!$B:$B,1)</f>
        <v>1848.3857168</v>
      </c>
      <c r="R3" s="61">
        <f>Q3-P3</f>
        <v>340.98571679999986</v>
      </c>
      <c r="S3" s="62">
        <f>IF(P3=0,"",R3/P3)</f>
        <v>0.22620785246119135</v>
      </c>
    </row>
    <row r="4" spans="1:19" x14ac:dyDescent="0.25">
      <c r="A4" t="s">
        <v>297</v>
      </c>
      <c r="B4" s="61">
        <f>SUMIFS('Stato patrimoniale'!W:W,'Stato patrimoniale'!$AG:$AG,"",'Stato patrimoniale'!$H:$H,$A4,'Stato patrimoniale'!$B:$B,1)</f>
        <v>0</v>
      </c>
      <c r="C4" s="61">
        <f>SUMIFS('Stato patrimoniale'!AD:AD,'Stato patrimoniale'!$AG:$AG,"",'Stato patrimoniale'!$H:$H,$A4,'Stato patrimoniale'!$B:$B,1)</f>
        <v>0</v>
      </c>
      <c r="D4" s="61">
        <f t="shared" si="0"/>
        <v>0</v>
      </c>
      <c r="E4" s="62" t="str">
        <f t="shared" si="1"/>
        <v/>
      </c>
      <c r="O4" t="s">
        <v>297</v>
      </c>
      <c r="P4" s="61">
        <f>SUMIFS('Stato patrimoniale'!W:W,'Stato patrimoniale'!$AG:$AG,"&gt;0",'Stato patrimoniale'!$H:$H,$O4,'Stato patrimoniale'!$B:$B,1)</f>
        <v>0</v>
      </c>
      <c r="Q4" s="61">
        <f>SUMIFS('Stato patrimoniale'!AP:AP,'Stato patrimoniale'!$AG:$AG,"&gt;0",'Stato patrimoniale'!$H:$H,$O4,'Stato patrimoniale'!$B:$B,1)</f>
        <v>0</v>
      </c>
      <c r="R4" s="61">
        <f t="shared" ref="R4:R9" si="2">Q4-P4</f>
        <v>0</v>
      </c>
      <c r="S4" s="62" t="str">
        <f t="shared" ref="S4:S9" si="3">IF(P4=0,"",R4/P4)</f>
        <v/>
      </c>
    </row>
    <row r="5" spans="1:19" x14ac:dyDescent="0.25">
      <c r="A5" t="s">
        <v>300</v>
      </c>
      <c r="B5" s="61">
        <f>SUMIFS('Stato patrimoniale'!W:W,'Stato patrimoniale'!$AG:$AG,"",'Stato patrimoniale'!$H:$H,$A5,'Stato patrimoniale'!$B:$B,1)</f>
        <v>0</v>
      </c>
      <c r="C5" s="61">
        <f>SUMIFS('Stato patrimoniale'!AD:AD,'Stato patrimoniale'!$AG:$AG,"",'Stato patrimoniale'!$H:$H,$A5,'Stato patrimoniale'!$B:$B,1)</f>
        <v>0</v>
      </c>
      <c r="D5" s="61">
        <f t="shared" si="0"/>
        <v>0</v>
      </c>
      <c r="E5" s="62" t="str">
        <f t="shared" si="1"/>
        <v/>
      </c>
      <c r="O5" t="s">
        <v>300</v>
      </c>
      <c r="P5" s="61">
        <f>SUMIFS('Stato patrimoniale'!W:W,'Stato patrimoniale'!$AG:$AG,"&gt;0",'Stato patrimoniale'!$H:$H,$O5,'Stato patrimoniale'!$B:$B,1)</f>
        <v>0</v>
      </c>
      <c r="Q5" s="61">
        <f>SUMIFS('Stato patrimoniale'!AP:AP,'Stato patrimoniale'!$AG:$AG,"&gt;0",'Stato patrimoniale'!$H:$H,$O5,'Stato patrimoniale'!$B:$B,1)</f>
        <v>0</v>
      </c>
      <c r="R5" s="61">
        <f t="shared" si="2"/>
        <v>0</v>
      </c>
      <c r="S5" s="62" t="str">
        <f t="shared" si="3"/>
        <v/>
      </c>
    </row>
    <row r="6" spans="1:19" x14ac:dyDescent="0.25">
      <c r="A6" t="s">
        <v>302</v>
      </c>
      <c r="B6" s="61">
        <f>SUMIFS('Stato patrimoniale'!W:W,'Stato patrimoniale'!$AG:$AG,"",'Stato patrimoniale'!$H:$H,$A6,'Stato patrimoniale'!$B:$B,1)</f>
        <v>15242.920000000002</v>
      </c>
      <c r="C6" s="61">
        <f ca="1">SUMIFS('Stato patrimoniale'!AD:AD,'Stato patrimoniale'!$AG:$AG,"",'Stato patrimoniale'!$H:$H,$A6,'Stato patrimoniale'!$B:$B,1)</f>
        <v>15370.770028865618</v>
      </c>
      <c r="D6" s="61">
        <f t="shared" ca="1" si="0"/>
        <v>127.85002886561597</v>
      </c>
      <c r="E6" s="62">
        <f t="shared" ca="1" si="1"/>
        <v>8.3875024513423903E-3</v>
      </c>
      <c r="O6" t="s">
        <v>302</v>
      </c>
      <c r="P6" s="61">
        <f>SUMIFS('Stato patrimoniale'!W:W,'Stato patrimoniale'!$AG:$AG,"&gt;0",'Stato patrimoniale'!$H:$H,$O6,'Stato patrimoniale'!$B:$B,1)</f>
        <v>568.20000000000005</v>
      </c>
      <c r="Q6" s="61">
        <f>SUMIFS('Stato patrimoniale'!AP:AP,'Stato patrimoniale'!$AG:$AG,"&gt;0",'Stato patrimoniale'!$H:$H,$O6,'Stato patrimoniale'!$B:$B,1)</f>
        <v>1137.05</v>
      </c>
      <c r="R6" s="61">
        <f t="shared" si="2"/>
        <v>568.84999999999991</v>
      </c>
      <c r="S6" s="62">
        <f t="shared" si="3"/>
        <v>1.0011439633931711</v>
      </c>
    </row>
    <row r="7" spans="1:19" x14ac:dyDescent="0.25">
      <c r="A7" t="s">
        <v>298</v>
      </c>
      <c r="B7" s="61">
        <f>SUMIFS('Stato patrimoniale'!W:W,'Stato patrimoniale'!$AG:$AG,"",'Stato patrimoniale'!$H:$H,$A7,'Stato patrimoniale'!$B:$B,1)</f>
        <v>0</v>
      </c>
      <c r="C7" s="61">
        <f>SUMIFS('Stato patrimoniale'!AD:AD,'Stato patrimoniale'!$AG:$AG,"",'Stato patrimoniale'!$H:$H,$A7,'Stato patrimoniale'!$B:$B,1)</f>
        <v>0</v>
      </c>
      <c r="D7" s="61">
        <f t="shared" si="0"/>
        <v>0</v>
      </c>
      <c r="E7" s="62" t="str">
        <f t="shared" si="1"/>
        <v/>
      </c>
      <c r="O7" t="s">
        <v>298</v>
      </c>
      <c r="P7" s="61">
        <f>SUMIFS('Stato patrimoniale'!W:W,'Stato patrimoniale'!$AG:$AG,"&gt;0",'Stato patrimoniale'!$H:$H,$O7,'Stato patrimoniale'!$B:$B,1)</f>
        <v>0</v>
      </c>
      <c r="Q7" s="61">
        <f>SUMIFS('Stato patrimoniale'!AP:AP,'Stato patrimoniale'!$AG:$AG,"&gt;0",'Stato patrimoniale'!$H:$H,$O7,'Stato patrimoniale'!$B:$B,1)</f>
        <v>0</v>
      </c>
      <c r="R7" s="61">
        <f t="shared" si="2"/>
        <v>0</v>
      </c>
      <c r="S7" s="62" t="str">
        <f t="shared" si="3"/>
        <v/>
      </c>
    </row>
    <row r="8" spans="1:19" x14ac:dyDescent="0.25">
      <c r="A8" t="s">
        <v>303</v>
      </c>
      <c r="B8" s="61">
        <f>SUMIFS('Stato patrimoniale'!W:W,'Stato patrimoniale'!$AG:$AG,"",'Stato patrimoniale'!$H:$H,$A8,'Stato patrimoniale'!$B:$B,1)</f>
        <v>0</v>
      </c>
      <c r="C8" s="61">
        <f>SUMIFS('Stato patrimoniale'!AD:AD,'Stato patrimoniale'!$AG:$AG,"",'Stato patrimoniale'!$H:$H,$A8,'Stato patrimoniale'!$B:$B,1)</f>
        <v>0</v>
      </c>
      <c r="D8" s="61">
        <f t="shared" si="0"/>
        <v>0</v>
      </c>
      <c r="E8" s="62" t="str">
        <f t="shared" si="1"/>
        <v/>
      </c>
      <c r="O8" t="s">
        <v>303</v>
      </c>
      <c r="P8" s="61">
        <f>SUMIFS('Stato patrimoniale'!W:W,'Stato patrimoniale'!$AG:$AG,"&gt;0",'Stato patrimoniale'!$H:$H,$O8,'Stato patrimoniale'!$B:$B,1)</f>
        <v>0</v>
      </c>
      <c r="Q8" s="61">
        <f>SUMIFS('Stato patrimoniale'!AP:AP,'Stato patrimoniale'!$AG:$AG,"&gt;0",'Stato patrimoniale'!$H:$H,$O8,'Stato patrimoniale'!$B:$B,1)</f>
        <v>0</v>
      </c>
      <c r="R8" s="61">
        <f t="shared" si="2"/>
        <v>0</v>
      </c>
      <c r="S8" s="62" t="str">
        <f t="shared" si="3"/>
        <v/>
      </c>
    </row>
    <row r="9" spans="1:19" x14ac:dyDescent="0.25">
      <c r="A9" t="s">
        <v>304</v>
      </c>
      <c r="B9" s="61">
        <f>SUMIFS('Stato patrimoniale'!W:W,'Stato patrimoniale'!$AG:$AG,"",'Stato patrimoniale'!$H:$H,$A9,'Stato patrimoniale'!$B:$B,1)</f>
        <v>39076.925864000004</v>
      </c>
      <c r="C9" s="61">
        <f ca="1">SUMIFS('Stato patrimoniale'!AD:AD,'Stato patrimoniale'!$AG:$AG,"",'Stato patrimoniale'!$H:$H,$A9,'Stato patrimoniale'!$B:$B,1)</f>
        <v>52019.200098415815</v>
      </c>
      <c r="D9" s="61">
        <f t="shared" ca="1" si="0"/>
        <v>12942.27423441581</v>
      </c>
      <c r="E9" s="62">
        <f t="shared" ca="1" si="1"/>
        <v>0.33119990757356393</v>
      </c>
      <c r="O9" t="s">
        <v>304</v>
      </c>
      <c r="P9" s="61">
        <f>SUMIFS('Stato patrimoniale'!W:W,'Stato patrimoniale'!$AG:$AG,"&gt;0",'Stato patrimoniale'!$H:$H,$O9,'Stato patrimoniale'!$B:$B,1)</f>
        <v>516.05000000000007</v>
      </c>
      <c r="Q9" s="61">
        <f>SUMIFS('Stato patrimoniale'!AP:AP,'Stato patrimoniale'!$AG:$AG,"&gt;0",'Stato patrimoniale'!$H:$H,$O9,'Stato patrimoniale'!$B:$B,1)</f>
        <v>661.58799999999997</v>
      </c>
      <c r="R9" s="61">
        <f t="shared" si="2"/>
        <v>145.5379999999999</v>
      </c>
      <c r="S9" s="62">
        <f t="shared" si="3"/>
        <v>0.28202305978102871</v>
      </c>
    </row>
    <row r="10" spans="1:19" x14ac:dyDescent="0.25">
      <c r="A10" t="s">
        <v>305</v>
      </c>
      <c r="B10" s="61">
        <f>SUMIFS('Stato patrimoniale'!W:W,'Stato patrimoniale'!$AG:$AG,"",'Stato patrimoniale'!$H:$H,$A10,'Stato patrimoniale'!$B:$B,1)</f>
        <v>3503.11</v>
      </c>
      <c r="C10" s="61">
        <f ca="1">SUMIFS('Stato patrimoniale'!AD:AD,'Stato patrimoniale'!$AG:$AG,"",'Stato patrimoniale'!$H:$H,$A10,'Stato patrimoniale'!$B:$B,1)</f>
        <v>5593.2000105818479</v>
      </c>
      <c r="D10" s="61">
        <f t="shared" ca="1" si="0"/>
        <v>2090.0900105818478</v>
      </c>
      <c r="E10" s="62">
        <f t="shared" ca="1" si="1"/>
        <v>0.59663841860000044</v>
      </c>
      <c r="O10" t="s">
        <v>305</v>
      </c>
      <c r="P10" s="61">
        <f>SUMIFS('Stato patrimoniale'!W:W,'Stato patrimoniale'!$AG:$AG,"&gt;0",'Stato patrimoniale'!$H:$H,$O10,'Stato patrimoniale'!$B:$B,1)</f>
        <v>0</v>
      </c>
      <c r="Q10" s="61">
        <f>SUMIFS('Stato patrimoniale'!AP:AP,'Stato patrimoniale'!$AG:$AG,"&gt;0",'Stato patrimoniale'!$H:$H,$O10,'Stato patrimoniale'!$B:$B,1)</f>
        <v>0</v>
      </c>
      <c r="R10" s="61">
        <f t="shared" ref="R10:R12" si="4">Q10-P10</f>
        <v>0</v>
      </c>
      <c r="S10" s="62" t="str">
        <f t="shared" ref="S10:S12" si="5">IF(P10=0,"",R10/P10)</f>
        <v/>
      </c>
    </row>
    <row r="11" spans="1:19" x14ac:dyDescent="0.25">
      <c r="A11" t="s">
        <v>276</v>
      </c>
      <c r="B11" s="61">
        <f>SUMIFS('Stato patrimoniale'!W:W,'Stato patrimoniale'!$AG:$AG,"",'Stato patrimoniale'!$H:$H,$A11,'Stato patrimoniale'!$B:$B,1)</f>
        <v>38622.396649999995</v>
      </c>
      <c r="C11" s="61">
        <f ca="1">SUMIFS('Stato patrimoniale'!AD:AD,'Stato patrimoniale'!$AG:$AG,"",'Stato patrimoniale'!$H:$H,$A11,'Stato patrimoniale'!$B:$B,1)</f>
        <v>40911.239573472427</v>
      </c>
      <c r="D11" s="61">
        <f t="shared" ca="1" si="0"/>
        <v>2288.8429234724317</v>
      </c>
      <c r="E11" s="62">
        <f t="shared" ca="1" si="1"/>
        <v>5.926206351755315E-2</v>
      </c>
      <c r="O11" t="s">
        <v>276</v>
      </c>
      <c r="P11" s="61">
        <f>SUMIFS('Stato patrimoniale'!W:W,'Stato patrimoniale'!$AG:$AG,"&gt;0",'Stato patrimoniale'!$H:$H,$O11,'Stato patrimoniale'!$B:$B,1)</f>
        <v>8515.2110499999999</v>
      </c>
      <c r="Q11" s="61">
        <f>SUMIFS('Stato patrimoniale'!AP:AP,'Stato patrimoniale'!$AG:$AG,"&gt;0",'Stato patrimoniale'!$H:$H,$O11,'Stato patrimoniale'!$B:$B,1)</f>
        <v>9868.1772500000006</v>
      </c>
      <c r="R11" s="61">
        <f t="shared" si="4"/>
        <v>1352.9662000000008</v>
      </c>
      <c r="S11" s="62">
        <f t="shared" si="5"/>
        <v>0.15888815815081891</v>
      </c>
    </row>
    <row r="12" spans="1:19" x14ac:dyDescent="0.25">
      <c r="A12" t="s">
        <v>301</v>
      </c>
      <c r="B12" s="61">
        <f>SUMIFS('Stato patrimoniale'!W:W,'Stato patrimoniale'!$AG:$AG,"",'Stato patrimoniale'!$H:$H,$A12,'Stato patrimoniale'!$B:$B,1)</f>
        <v>0</v>
      </c>
      <c r="C12" s="61">
        <f>SUMIFS('Stato patrimoniale'!AD:AD,'Stato patrimoniale'!$AG:$AG,"",'Stato patrimoniale'!$H:$H,$A12,'Stato patrimoniale'!$B:$B,1)</f>
        <v>0</v>
      </c>
      <c r="D12" s="61">
        <f t="shared" si="0"/>
        <v>0</v>
      </c>
      <c r="E12" s="62" t="str">
        <f t="shared" si="1"/>
        <v/>
      </c>
      <c r="O12" t="s">
        <v>301</v>
      </c>
      <c r="P12" s="61">
        <f>SUMIFS('Stato patrimoniale'!W:W,'Stato patrimoniale'!$AG:$AG,"&gt;0",'Stato patrimoniale'!$H:$H,$O12,'Stato patrimoniale'!$B:$B,1)</f>
        <v>0</v>
      </c>
      <c r="Q12" s="61">
        <f>SUMIFS('Stato patrimoniale'!AP:AP,'Stato patrimoniale'!$AG:$AG,"&gt;0",'Stato patrimoniale'!$H:$H,$O12,'Stato patrimoniale'!$B:$B,1)</f>
        <v>0</v>
      </c>
      <c r="R12" s="61">
        <f t="shared" si="4"/>
        <v>0</v>
      </c>
      <c r="S12" s="62" t="str">
        <f t="shared" si="5"/>
        <v/>
      </c>
    </row>
    <row r="13" spans="1:19" x14ac:dyDescent="0.25">
      <c r="A13" t="s">
        <v>365</v>
      </c>
      <c r="B13" s="61">
        <f>SUMIFS('Stato patrimoniale'!W:W,'Stato patrimoniale'!$AG:$AG,"",'Stato patrimoniale'!$H:$H,$A13,'Stato patrimoniale'!$B:$B,1)</f>
        <v>37300.146799999995</v>
      </c>
      <c r="C13" s="61">
        <f ca="1">SUMIFS('Stato patrimoniale'!AD:AD,'Stato patrimoniale'!$AG:$AG,"",'Stato patrimoniale'!$H:$H,$A13,'Stato patrimoniale'!$B:$B,1)</f>
        <v>38988.511273762873</v>
      </c>
      <c r="D13" s="61">
        <f t="shared" ref="D13" ca="1" si="6">C13-B13</f>
        <v>1688.3644737628783</v>
      </c>
      <c r="E13" s="62">
        <f t="shared" ref="E13" ca="1" si="7">IF(B13=0,"",D13/B13)</f>
        <v>4.5264284958869881E-2</v>
      </c>
      <c r="O13" t="s">
        <v>365</v>
      </c>
      <c r="P13" s="61">
        <f>SUMIFS('Stato patrimoniale'!W:W,'Stato patrimoniale'!$AG:$AG,"&gt;0",'Stato patrimoniale'!$H:$H,$O13,'Stato patrimoniale'!$B:$B,1)</f>
        <v>524.95000000000005</v>
      </c>
      <c r="Q13" s="61">
        <f>SUMIFS('Stato patrimoniale'!AP:AP,'Stato patrimoniale'!$AG:$AG,"&gt;0",'Stato patrimoniale'!$H:$H,$O13,'Stato patrimoniale'!$B:$B,1)</f>
        <v>1159.2499999999998</v>
      </c>
      <c r="R13" s="61">
        <f t="shared" ref="R13" si="8">Q13-P13</f>
        <v>634.29999999999973</v>
      </c>
      <c r="S13" s="62">
        <f t="shared" ref="S13" si="9">IF(P13=0,"",R13/P13)</f>
        <v>1.2083055529098004</v>
      </c>
    </row>
  </sheetData>
  <sortState xmlns:xlrd2="http://schemas.microsoft.com/office/spreadsheetml/2017/richdata2" ref="A3:E12">
    <sortCondition descending="1" ref="C3:C12"/>
  </sortState>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C096-D302-4070-B08D-61606848617E}">
  <sheetPr codeName="Sheet15"/>
  <dimension ref="A1:S15"/>
  <sheetViews>
    <sheetView workbookViewId="0">
      <selection activeCell="H5" sqref="H5"/>
    </sheetView>
  </sheetViews>
  <sheetFormatPr defaultRowHeight="15" x14ac:dyDescent="0.25"/>
  <cols>
    <col min="1" max="1" width="10" customWidth="1"/>
    <col min="2" max="2" width="9" style="61" bestFit="1" customWidth="1"/>
    <col min="3" max="3" width="9" bestFit="1" customWidth="1"/>
    <col min="4" max="4" width="9.7109375" bestFit="1" customWidth="1"/>
    <col min="5" max="5" width="11.7109375"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9</v>
      </c>
      <c r="B2" s="63" t="s">
        <v>281</v>
      </c>
      <c r="C2" s="9" t="s">
        <v>282</v>
      </c>
      <c r="D2" s="9" t="s">
        <v>14</v>
      </c>
      <c r="E2" s="9" t="s">
        <v>20</v>
      </c>
      <c r="O2" s="9" t="s">
        <v>9</v>
      </c>
      <c r="P2" s="63" t="s">
        <v>281</v>
      </c>
      <c r="Q2" s="9" t="s">
        <v>284</v>
      </c>
      <c r="R2" s="9" t="s">
        <v>285</v>
      </c>
      <c r="S2" s="9" t="s">
        <v>283</v>
      </c>
    </row>
    <row r="3" spans="1:19" x14ac:dyDescent="0.25">
      <c r="A3" t="s">
        <v>47</v>
      </c>
      <c r="B3" s="61">
        <f>SUMIFS('Stato patrimoniale'!W:W,'Stato patrimoniale'!$AG:$AG,"",'Stato patrimoniale'!$J:$J,$A3,'Stato patrimoniale'!$B:$B,2)</f>
        <v>0</v>
      </c>
      <c r="C3" s="61">
        <f>SUMIFS('Stato patrimoniale'!AD:AD,'Stato patrimoniale'!$AG:$AG,"",'Stato patrimoniale'!$J:$J,$A3,'Stato patrimoniale'!$B:$B,2)</f>
        <v>0</v>
      </c>
      <c r="D3" s="61">
        <f t="shared" ref="D3" si="0">C3-B3</f>
        <v>0</v>
      </c>
      <c r="E3" s="62" t="str">
        <f t="shared" ref="E3" si="1">IF(B3=0,"",D3/B3)</f>
        <v/>
      </c>
      <c r="O3" t="s">
        <v>47</v>
      </c>
      <c r="P3" s="61">
        <f>SUMIFS('Stato patrimoniale'!W:W,'Stato patrimoniale'!$AG:$AG,"&gt;0",'Stato patrimoniale'!$J:$J,$O3,'Stato patrimoniale'!$B:$B,2)</f>
        <v>0</v>
      </c>
      <c r="Q3" s="61">
        <f>SUMIFS('Stato patrimoniale'!AP:AP,'Stato patrimoniale'!$AG:$AG,"&gt;0",'Stato patrimoniale'!$J:$J,$O3,'Stato patrimoniale'!$B:$B,2)</f>
        <v>0</v>
      </c>
      <c r="R3" s="61">
        <f>Q3-P3</f>
        <v>0</v>
      </c>
      <c r="S3" s="62" t="str">
        <f>IF(P3=0,"",R3/P3)</f>
        <v/>
      </c>
    </row>
    <row r="4" spans="1:19" x14ac:dyDescent="0.25">
      <c r="A4" t="s">
        <v>61</v>
      </c>
      <c r="B4" s="61">
        <f>SUMIFS('Stato patrimoniale'!W:W,'Stato patrimoniale'!$AG:$AG,"",'Stato patrimoniale'!$J:$J,$A4,'Stato patrimoniale'!$B:$B,2)</f>
        <v>0</v>
      </c>
      <c r="C4" s="61">
        <f>SUMIFS('Stato patrimoniale'!AD:AD,'Stato patrimoniale'!$AG:$AG,"",'Stato patrimoniale'!$J:$J,$A4,'Stato patrimoniale'!$B:$B,2)</f>
        <v>0</v>
      </c>
      <c r="D4" s="61">
        <f t="shared" ref="D4:D5" si="2">C4-B4</f>
        <v>0</v>
      </c>
      <c r="E4" s="62" t="str">
        <f t="shared" ref="E4:E5" si="3">IF(B4=0,"",D4/B4)</f>
        <v/>
      </c>
      <c r="O4" t="s">
        <v>61</v>
      </c>
      <c r="P4" s="61">
        <f>SUMIFS('Stato patrimoniale'!W:W,'Stato patrimoniale'!$AG:$AG,"&gt;0",'Stato patrimoniale'!$J:$J,$O4,'Stato patrimoniale'!$B:$B,2)</f>
        <v>0</v>
      </c>
      <c r="Q4" s="61">
        <f>SUMIFS('Stato patrimoniale'!AP:AP,'Stato patrimoniale'!$AG:$AG,"&gt;0",'Stato patrimoniale'!$J:$J,$O4,'Stato patrimoniale'!$B:$B,2)</f>
        <v>0</v>
      </c>
      <c r="R4" s="61">
        <f t="shared" ref="R4:R5" si="4">Q4-P4</f>
        <v>0</v>
      </c>
      <c r="S4" s="62" t="str">
        <f t="shared" ref="S4:S5" si="5">IF(P4=0,"",R4/P4)</f>
        <v/>
      </c>
    </row>
    <row r="5" spans="1:19" x14ac:dyDescent="0.25">
      <c r="A5" t="s">
        <v>68</v>
      </c>
      <c r="B5" s="61">
        <f>SUMIFS('Stato patrimoniale'!W:W,'Stato patrimoniale'!$AG:$AG,"",'Stato patrimoniale'!$J:$J,$A5,'Stato patrimoniale'!$B:$B,2)</f>
        <v>0</v>
      </c>
      <c r="C5" s="61">
        <f>SUMIFS('Stato patrimoniale'!AD:AD,'Stato patrimoniale'!$AG:$AG,"",'Stato patrimoniale'!$J:$J,$A5,'Stato patrimoniale'!$B:$B,2)</f>
        <v>0</v>
      </c>
      <c r="D5" s="61">
        <f t="shared" si="2"/>
        <v>0</v>
      </c>
      <c r="E5" s="62" t="str">
        <f t="shared" si="3"/>
        <v/>
      </c>
      <c r="O5" t="s">
        <v>68</v>
      </c>
      <c r="P5" s="61">
        <f>SUMIFS('Stato patrimoniale'!W:W,'Stato patrimoniale'!$AG:$AG,"&gt;0",'Stato patrimoniale'!$J:$J,$O5,'Stato patrimoniale'!$B:$B,2)</f>
        <v>0</v>
      </c>
      <c r="Q5" s="61">
        <f>SUMIFS('Stato patrimoniale'!AP:AP,'Stato patrimoniale'!$AG:$AG,"&gt;0",'Stato patrimoniale'!$J:$J,$O5,'Stato patrimoniale'!$B:$B,2)</f>
        <v>0</v>
      </c>
      <c r="R5" s="61">
        <f t="shared" si="4"/>
        <v>0</v>
      </c>
      <c r="S5" s="62" t="str">
        <f t="shared" si="5"/>
        <v/>
      </c>
    </row>
    <row r="6" spans="1:19" x14ac:dyDescent="0.25">
      <c r="A6" t="s">
        <v>74</v>
      </c>
      <c r="B6" s="61">
        <f>SUMIFS('Stato patrimoniale'!W:W,'Stato patrimoniale'!$AG:$AG,"",'Stato patrimoniale'!$J:$J,$A6,'Stato patrimoniale'!$B:$B,2)</f>
        <v>0</v>
      </c>
      <c r="C6" s="61">
        <f>SUMIFS('Stato patrimoniale'!AD:AD,'Stato patrimoniale'!$AG:$AG,"",'Stato patrimoniale'!$J:$J,$A6,'Stato patrimoniale'!$B:$B,2)</f>
        <v>0</v>
      </c>
      <c r="D6" s="61">
        <f t="shared" ref="D6:D7" si="6">C6-B6</f>
        <v>0</v>
      </c>
      <c r="E6" s="62" t="str">
        <f t="shared" ref="E6:E7" si="7">IF(B6=0,"",D6/B6)</f>
        <v/>
      </c>
      <c r="O6" t="s">
        <v>74</v>
      </c>
      <c r="P6" s="61">
        <f>SUMIFS('Stato patrimoniale'!W:W,'Stato patrimoniale'!$AG:$AG,"&gt;0",'Stato patrimoniale'!$J:$J,$O6,'Stato patrimoniale'!$B:$B,2)</f>
        <v>0</v>
      </c>
      <c r="Q6" s="61">
        <f>SUMIFS('Stato patrimoniale'!AP:AP,'Stato patrimoniale'!$AG:$AG,"&gt;0",'Stato patrimoniale'!$J:$J,$O6,'Stato patrimoniale'!$B:$B,2)</f>
        <v>0</v>
      </c>
      <c r="R6" s="61">
        <f t="shared" ref="R6:R11" si="8">Q6-P6</f>
        <v>0</v>
      </c>
      <c r="S6" s="62" t="str">
        <f t="shared" ref="S6:S11" si="9">IF(P6=0,"",R6/P6)</f>
        <v/>
      </c>
    </row>
    <row r="7" spans="1:19" x14ac:dyDescent="0.25">
      <c r="A7" t="s">
        <v>59</v>
      </c>
      <c r="B7" s="61">
        <f>SUMIFS('Stato patrimoniale'!W:W,'Stato patrimoniale'!$AG:$AG,"",'Stato patrimoniale'!$J:$J,$A7,'Stato patrimoniale'!$B:$B,2)</f>
        <v>0</v>
      </c>
      <c r="C7" s="61">
        <f>SUMIFS('Stato patrimoniale'!AD:AD,'Stato patrimoniale'!$AG:$AG,"",'Stato patrimoniale'!$J:$J,$A7,'Stato patrimoniale'!$B:$B,2)</f>
        <v>0</v>
      </c>
      <c r="D7" s="61">
        <f t="shared" si="6"/>
        <v>0</v>
      </c>
      <c r="E7" s="62" t="str">
        <f t="shared" si="7"/>
        <v/>
      </c>
      <c r="O7" t="s">
        <v>59</v>
      </c>
      <c r="P7" s="61">
        <f>SUMIFS('Stato patrimoniale'!W:W,'Stato patrimoniale'!$AG:$AG,"&gt;0",'Stato patrimoniale'!$J:$J,$O7,'Stato patrimoniale'!$B:$B,2)</f>
        <v>0</v>
      </c>
      <c r="Q7" s="61">
        <f>SUMIFS('Stato patrimoniale'!AP:AP,'Stato patrimoniale'!$AG:$AG,"&gt;0",'Stato patrimoniale'!$J:$J,$O7,'Stato patrimoniale'!$B:$B,2)</f>
        <v>0</v>
      </c>
      <c r="R7" s="61">
        <f t="shared" si="8"/>
        <v>0</v>
      </c>
      <c r="S7" s="62" t="str">
        <f t="shared" si="9"/>
        <v/>
      </c>
    </row>
    <row r="8" spans="1:19" x14ac:dyDescent="0.25">
      <c r="A8" t="s">
        <v>108</v>
      </c>
      <c r="B8" s="61">
        <f>SUMIFS('Stato patrimoniale'!W:W,'Stato patrimoniale'!$AG:$AG,"",'Stato patrimoniale'!$J:$J,$A8,'Stato patrimoniale'!$B:$B,2)</f>
        <v>0</v>
      </c>
      <c r="C8" s="61">
        <f>SUMIFS('Stato patrimoniale'!AD:AD,'Stato patrimoniale'!$AG:$AG,"",'Stato patrimoniale'!$J:$J,$A8,'Stato patrimoniale'!$B:$B,2)</f>
        <v>0</v>
      </c>
      <c r="D8" s="61">
        <f t="shared" ref="D8:D11" si="10">C8-B8</f>
        <v>0</v>
      </c>
      <c r="E8" s="62" t="str">
        <f t="shared" ref="E8:E11" si="11">IF(B8=0,"",D8/B8)</f>
        <v/>
      </c>
      <c r="O8" t="s">
        <v>108</v>
      </c>
      <c r="P8" s="61">
        <f>SUMIFS('Stato patrimoniale'!W:W,'Stato patrimoniale'!$AG:$AG,"&gt;0",'Stato patrimoniale'!$J:$J,$O8,'Stato patrimoniale'!$B:$B,2)</f>
        <v>0</v>
      </c>
      <c r="Q8" s="61">
        <f>SUMIFS('Stato patrimoniale'!AP:AP,'Stato patrimoniale'!$AG:$AG,"&gt;0",'Stato patrimoniale'!$J:$J,$O8,'Stato patrimoniale'!$B:$B,2)</f>
        <v>0</v>
      </c>
      <c r="R8" s="61">
        <f t="shared" si="8"/>
        <v>0</v>
      </c>
      <c r="S8" s="62" t="str">
        <f t="shared" si="9"/>
        <v/>
      </c>
    </row>
    <row r="9" spans="1:19" x14ac:dyDescent="0.25">
      <c r="A9" t="s">
        <v>96</v>
      </c>
      <c r="B9" s="61">
        <f>SUMIFS('Stato patrimoniale'!W:W,'Stato patrimoniale'!$AG:$AG,"",'Stato patrimoniale'!$J:$J,$A9,'Stato patrimoniale'!$B:$B,2)</f>
        <v>0</v>
      </c>
      <c r="C9" s="61">
        <f>SUMIFS('Stato patrimoniale'!AD:AD,'Stato patrimoniale'!$AG:$AG,"",'Stato patrimoniale'!$J:$J,$A9,'Stato patrimoniale'!$B:$B,2)</f>
        <v>0</v>
      </c>
      <c r="D9" s="61">
        <f t="shared" si="10"/>
        <v>0</v>
      </c>
      <c r="E9" s="62" t="str">
        <f t="shared" si="11"/>
        <v/>
      </c>
      <c r="O9" t="s">
        <v>96</v>
      </c>
      <c r="P9" s="61">
        <f>SUMIFS('Stato patrimoniale'!W:W,'Stato patrimoniale'!$AG:$AG,"&gt;0",'Stato patrimoniale'!$J:$J,$O9,'Stato patrimoniale'!$B:$B,2)</f>
        <v>0</v>
      </c>
      <c r="Q9" s="61">
        <f>SUMIFS('Stato patrimoniale'!AP:AP,'Stato patrimoniale'!$AG:$AG,"&gt;0",'Stato patrimoniale'!$J:$J,$O9,'Stato patrimoniale'!$B:$B,2)</f>
        <v>0</v>
      </c>
      <c r="R9" s="61">
        <f t="shared" si="8"/>
        <v>0</v>
      </c>
      <c r="S9" s="62" t="str">
        <f t="shared" si="9"/>
        <v/>
      </c>
    </row>
    <row r="10" spans="1:19" x14ac:dyDescent="0.25">
      <c r="A10" t="s">
        <v>72</v>
      </c>
      <c r="B10" s="61">
        <f>SUMIFS('Stato patrimoniale'!W:W,'Stato patrimoniale'!$AG:$AG,"",'Stato patrimoniale'!$J:$J,$A10,'Stato patrimoniale'!$B:$B,2)</f>
        <v>0</v>
      </c>
      <c r="C10" s="61">
        <f>SUMIFS('Stato patrimoniale'!AD:AD,'Stato patrimoniale'!$AG:$AG,"",'Stato patrimoniale'!$J:$J,$A10,'Stato patrimoniale'!$B:$B,2)</f>
        <v>0</v>
      </c>
      <c r="D10" s="61">
        <f t="shared" si="10"/>
        <v>0</v>
      </c>
      <c r="E10" s="62" t="str">
        <f t="shared" si="11"/>
        <v/>
      </c>
      <c r="O10" t="s">
        <v>72</v>
      </c>
      <c r="P10" s="61">
        <f>SUMIFS('Stato patrimoniale'!W:W,'Stato patrimoniale'!$AG:$AG,"&gt;0",'Stato patrimoniale'!$J:$J,$O10,'Stato patrimoniale'!$B:$B,2)</f>
        <v>0</v>
      </c>
      <c r="Q10" s="61">
        <f>SUMIFS('Stato patrimoniale'!AP:AP,'Stato patrimoniale'!$AG:$AG,"&gt;0",'Stato patrimoniale'!$J:$J,$O10,'Stato patrimoniale'!$B:$B,2)</f>
        <v>0</v>
      </c>
      <c r="R10" s="61">
        <f t="shared" si="8"/>
        <v>0</v>
      </c>
      <c r="S10" s="62" t="str">
        <f t="shared" si="9"/>
        <v/>
      </c>
    </row>
    <row r="11" spans="1:19" x14ac:dyDescent="0.25">
      <c r="A11" t="s">
        <v>91</v>
      </c>
      <c r="B11" s="61">
        <f>SUMIFS('Stato patrimoniale'!W:W,'Stato patrimoniale'!$AG:$AG,"",'Stato patrimoniale'!$J:$J,$A11,'Stato patrimoniale'!$B:$B,2)</f>
        <v>0</v>
      </c>
      <c r="C11" s="61">
        <f>SUMIFS('Stato patrimoniale'!AD:AD,'Stato patrimoniale'!$AG:$AG,"",'Stato patrimoniale'!$J:$J,$A11,'Stato patrimoniale'!$B:$B,2)</f>
        <v>0</v>
      </c>
      <c r="D11" s="61">
        <f t="shared" si="10"/>
        <v>0</v>
      </c>
      <c r="E11" s="62" t="str">
        <f t="shared" si="11"/>
        <v/>
      </c>
      <c r="O11" t="s">
        <v>91</v>
      </c>
      <c r="P11" s="61">
        <f>SUMIFS('Stato patrimoniale'!W:W,'Stato patrimoniale'!$AG:$AG,"&gt;0",'Stato patrimoniale'!$J:$J,$O11,'Stato patrimoniale'!$B:$B,2)</f>
        <v>0</v>
      </c>
      <c r="Q11" s="61">
        <f>SUMIFS('Stato patrimoniale'!AP:AP,'Stato patrimoniale'!$AG:$AG,"&gt;0",'Stato patrimoniale'!$J:$J,$O11,'Stato patrimoniale'!$B:$B,2)</f>
        <v>0</v>
      </c>
      <c r="R11" s="61">
        <f t="shared" si="8"/>
        <v>0</v>
      </c>
      <c r="S11" s="62" t="str">
        <f t="shared" si="9"/>
        <v/>
      </c>
    </row>
    <row r="12" spans="1:19" x14ac:dyDescent="0.25">
      <c r="C12" s="61"/>
      <c r="D12" s="61"/>
      <c r="E12" s="62"/>
      <c r="P12" s="61"/>
      <c r="Q12" s="61"/>
      <c r="R12" s="61"/>
      <c r="S12" s="62"/>
    </row>
    <row r="13" spans="1:19" x14ac:dyDescent="0.25">
      <c r="C13" s="61"/>
      <c r="D13" s="61"/>
      <c r="E13" s="62"/>
      <c r="P13" s="61"/>
      <c r="Q13" s="61"/>
      <c r="R13" s="61"/>
      <c r="S13" s="62"/>
    </row>
    <row r="14" spans="1:19" x14ac:dyDescent="0.25">
      <c r="C14" s="61"/>
      <c r="D14" s="61"/>
      <c r="E14" s="62"/>
      <c r="P14" s="61"/>
      <c r="Q14" s="61"/>
      <c r="R14" s="61"/>
      <c r="S14" s="62"/>
    </row>
    <row r="15" spans="1:19" x14ac:dyDescent="0.25">
      <c r="C15" s="61"/>
      <c r="D15" s="61"/>
      <c r="E15" s="62"/>
      <c r="P15" s="61"/>
      <c r="Q15" s="61"/>
      <c r="R15" s="61"/>
      <c r="S15" s="62"/>
    </row>
  </sheetData>
  <sortState xmlns:xlrd2="http://schemas.microsoft.com/office/spreadsheetml/2017/richdata2" ref="A3:E15">
    <sortCondition descending="1" ref="C3:C15"/>
  </sortState>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DFDC-8733-4274-9868-108E2B46C3B3}">
  <sheetPr codeName="Sheet16"/>
  <dimension ref="A1:X138"/>
  <sheetViews>
    <sheetView workbookViewId="0">
      <selection activeCell="C7" sqref="C7"/>
    </sheetView>
  </sheetViews>
  <sheetFormatPr defaultRowHeight="15" x14ac:dyDescent="0.25"/>
  <cols>
    <col min="1" max="1" width="10" customWidth="1"/>
    <col min="2" max="2" width="9" style="61" bestFit="1" customWidth="1"/>
    <col min="3" max="3" width="9" bestFit="1" customWidth="1"/>
    <col min="4" max="4" width="8.7109375" bestFit="1" customWidth="1"/>
    <col min="5" max="5" width="12" bestFit="1" customWidth="1"/>
    <col min="15" max="15" width="9.140625" customWidth="1"/>
    <col min="19" max="19" width="10.140625" bestFit="1" customWidth="1"/>
  </cols>
  <sheetData>
    <row r="1" spans="1:19" s="64" customFormat="1" x14ac:dyDescent="0.25">
      <c r="A1" s="64" t="s">
        <v>286</v>
      </c>
      <c r="B1" s="65"/>
      <c r="O1" s="64" t="s">
        <v>287</v>
      </c>
    </row>
    <row r="2" spans="1:19" s="9" customFormat="1" ht="33" customHeight="1" x14ac:dyDescent="0.25">
      <c r="A2" s="9" t="s">
        <v>288</v>
      </c>
      <c r="B2" s="63" t="s">
        <v>281</v>
      </c>
      <c r="C2" s="9" t="s">
        <v>282</v>
      </c>
      <c r="D2" s="9" t="s">
        <v>14</v>
      </c>
      <c r="E2" s="9" t="s">
        <v>20</v>
      </c>
      <c r="O2" s="9" t="s">
        <v>288</v>
      </c>
      <c r="P2" s="63" t="s">
        <v>281</v>
      </c>
      <c r="Q2" s="9" t="s">
        <v>284</v>
      </c>
      <c r="R2" s="9" t="s">
        <v>285</v>
      </c>
      <c r="S2" s="9" t="s">
        <v>283</v>
      </c>
    </row>
    <row r="3" spans="1:19" x14ac:dyDescent="0.25">
      <c r="A3" t="s">
        <v>345</v>
      </c>
      <c r="B3" s="61">
        <f>SUMIFS('Stato patrimoniale'!W:W,'Stato patrimoniale'!$AG:$AG,"",'Stato patrimoniale'!$Y:$Y,$A3,'Stato patrimoniale'!$B:$B,2)</f>
        <v>0</v>
      </c>
      <c r="C3" s="61">
        <f>SUMIFS('Stato patrimoniale'!AD:AD,'Stato patrimoniale'!$AG:$AG,"",'Stato patrimoniale'!$Y:$Y,$A3,'Stato patrimoniale'!$B:$B,2)</f>
        <v>0</v>
      </c>
      <c r="D3" s="61">
        <f t="shared" ref="D3:D10" si="0">C3-B3</f>
        <v>0</v>
      </c>
      <c r="E3" s="62" t="str">
        <f t="shared" ref="E3:E10" si="1">IF(B3=0,"",D3/B3)</f>
        <v/>
      </c>
      <c r="O3" t="s">
        <v>345</v>
      </c>
      <c r="P3" s="61">
        <f>SUMIFS('Stato patrimoniale'!W:W,'Stato patrimoniale'!$AG:$AG,"&gt;0",'Stato patrimoniale'!$AI:$AI,$O3,'Stato patrimoniale'!$B:$B,2)</f>
        <v>0</v>
      </c>
      <c r="Q3" s="61">
        <f>SUMIFS('Stato patrimoniale'!AP:AP,'Stato patrimoniale'!$AG:$AG,"&gt;0",'Stato patrimoniale'!$AI:$AI,$O3,'Stato patrimoniale'!$B:$B,2)</f>
        <v>0</v>
      </c>
      <c r="R3" s="61">
        <f>Q3-P3</f>
        <v>0</v>
      </c>
      <c r="S3" s="62" t="str">
        <f>IF(P3=0,"",R3/P3)</f>
        <v/>
      </c>
    </row>
    <row r="4" spans="1:19" x14ac:dyDescent="0.25">
      <c r="A4" t="s">
        <v>328</v>
      </c>
      <c r="B4" s="61">
        <f>SUMIFS('Stato patrimoniale'!W:W,'Stato patrimoniale'!$AG:$AG,"",'Stato patrimoniale'!$Y:$Y,$A4,'Stato patrimoniale'!$B:$B,2)</f>
        <v>0</v>
      </c>
      <c r="C4" s="61">
        <f>SUMIFS('Stato patrimoniale'!AD:AD,'Stato patrimoniale'!$AG:$AG,"",'Stato patrimoniale'!$Y:$Y,$A4,'Stato patrimoniale'!$B:$B,2)</f>
        <v>0</v>
      </c>
      <c r="D4" s="61">
        <f t="shared" si="0"/>
        <v>0</v>
      </c>
      <c r="E4" s="62" t="str">
        <f t="shared" si="1"/>
        <v/>
      </c>
      <c r="O4" t="s">
        <v>328</v>
      </c>
      <c r="P4" s="61">
        <f>SUMIFS('Stato patrimoniale'!W:W,'Stato patrimoniale'!$AG:$AG,"&gt;0",'Stato patrimoniale'!$AI:$AI,$O4,'Stato patrimoniale'!$B:$B,2)</f>
        <v>0</v>
      </c>
      <c r="Q4" s="61">
        <f>SUMIFS('Stato patrimoniale'!AP:AP,'Stato patrimoniale'!$AG:$AG,"&gt;0",'Stato patrimoniale'!$AI:$AI,$O4,'Stato patrimoniale'!$B:$B,2)</f>
        <v>0</v>
      </c>
      <c r="R4" s="61">
        <f t="shared" ref="R4:R5" si="2">Q4-P4</f>
        <v>0</v>
      </c>
      <c r="S4" s="62" t="str">
        <f t="shared" ref="S4:S5" si="3">IF(P4=0,"",R4/P4)</f>
        <v/>
      </c>
    </row>
    <row r="5" spans="1:19" x14ac:dyDescent="0.25">
      <c r="A5" t="s">
        <v>343</v>
      </c>
      <c r="B5" s="61">
        <f>SUMIFS('Stato patrimoniale'!W:W,'Stato patrimoniale'!$AG:$AG,"",'Stato patrimoniale'!$Y:$Y,$A5,'Stato patrimoniale'!$B:$B,2)</f>
        <v>0</v>
      </c>
      <c r="C5" s="61">
        <f>SUMIFS('Stato patrimoniale'!AD:AD,'Stato patrimoniale'!$AG:$AG,"",'Stato patrimoniale'!$Y:$Y,$A5,'Stato patrimoniale'!$B:$B,2)</f>
        <v>0</v>
      </c>
      <c r="D5" s="61">
        <f t="shared" si="0"/>
        <v>0</v>
      </c>
      <c r="E5" s="62" t="str">
        <f t="shared" si="1"/>
        <v/>
      </c>
      <c r="O5" t="s">
        <v>343</v>
      </c>
      <c r="P5" s="61">
        <f>SUMIFS('Stato patrimoniale'!W:W,'Stato patrimoniale'!$AG:$AG,"&gt;0",'Stato patrimoniale'!$AI:$AI,$O5,'Stato patrimoniale'!$B:$B,2)</f>
        <v>0</v>
      </c>
      <c r="Q5" s="61">
        <f>SUMIFS('Stato patrimoniale'!AP:AP,'Stato patrimoniale'!$AG:$AG,"&gt;0",'Stato patrimoniale'!$AI:$AI,$O5,'Stato patrimoniale'!$B:$B,2)</f>
        <v>0</v>
      </c>
      <c r="R5" s="61">
        <f t="shared" si="2"/>
        <v>0</v>
      </c>
      <c r="S5" s="62" t="str">
        <f t="shared" si="3"/>
        <v/>
      </c>
    </row>
    <row r="6" spans="1:19" x14ac:dyDescent="0.25">
      <c r="A6" t="s">
        <v>344</v>
      </c>
      <c r="B6" s="61">
        <f>SUMIFS('Stato patrimoniale'!W:W,'Stato patrimoniale'!$AG:$AG,"",'Stato patrimoniale'!$Y:$Y,$A6,'Stato patrimoniale'!$B:$B,2)</f>
        <v>0</v>
      </c>
      <c r="C6" s="61">
        <f>SUMIFS('Stato patrimoniale'!AD:AD,'Stato patrimoniale'!$AG:$AG,"",'Stato patrimoniale'!$Y:$Y,$A6,'Stato patrimoniale'!$B:$B,2)</f>
        <v>0</v>
      </c>
      <c r="D6" s="61">
        <f t="shared" si="0"/>
        <v>0</v>
      </c>
      <c r="E6" s="62" t="str">
        <f t="shared" si="1"/>
        <v/>
      </c>
      <c r="O6" t="s">
        <v>344</v>
      </c>
      <c r="P6" s="61">
        <f>SUMIFS('Stato patrimoniale'!W:W,'Stato patrimoniale'!$AG:$AG,"&gt;0",'Stato patrimoniale'!$AI:$AI,$O6,'Stato patrimoniale'!$B:$B,2)</f>
        <v>0</v>
      </c>
      <c r="Q6" s="61">
        <f>SUMIFS('Stato patrimoniale'!AP:AP,'Stato patrimoniale'!$AG:$AG,"&gt;0",'Stato patrimoniale'!$AI:$AI,$O6,'Stato patrimoniale'!$B:$B,2)</f>
        <v>0</v>
      </c>
      <c r="R6" s="61">
        <f t="shared" ref="R6:R10" si="4">Q6-P6</f>
        <v>0</v>
      </c>
      <c r="S6" s="62" t="str">
        <f t="shared" ref="S6:S10" si="5">IF(P6=0,"",R6/P6)</f>
        <v/>
      </c>
    </row>
    <row r="7" spans="1:19" x14ac:dyDescent="0.25">
      <c r="A7" t="s">
        <v>330</v>
      </c>
      <c r="B7" s="61">
        <f>SUMIFS('Stato patrimoniale'!W:W,'Stato patrimoniale'!$AG:$AG,"",'Stato patrimoniale'!$Y:$Y,$A7,'Stato patrimoniale'!$B:$B,2)</f>
        <v>0</v>
      </c>
      <c r="C7" s="61">
        <f>SUMIFS('Stato patrimoniale'!AD:AD,'Stato patrimoniale'!$AG:$AG,"",'Stato patrimoniale'!$Y:$Y,$A7,'Stato patrimoniale'!$B:$B,2)</f>
        <v>0</v>
      </c>
      <c r="D7" s="61">
        <f t="shared" si="0"/>
        <v>0</v>
      </c>
      <c r="E7" s="62" t="str">
        <f t="shared" si="1"/>
        <v/>
      </c>
      <c r="O7" t="s">
        <v>330</v>
      </c>
      <c r="P7" s="61">
        <f>SUMIFS('Stato patrimoniale'!W:W,'Stato patrimoniale'!$AG:$AG,"&gt;0",'Stato patrimoniale'!$AI:$AI,$O7,'Stato patrimoniale'!$B:$B,2)</f>
        <v>0</v>
      </c>
      <c r="Q7" s="61">
        <f>SUMIFS('Stato patrimoniale'!AP:AP,'Stato patrimoniale'!$AG:$AG,"&gt;0",'Stato patrimoniale'!$AI:$AI,$O7,'Stato patrimoniale'!$B:$B,2)</f>
        <v>0</v>
      </c>
      <c r="R7" s="61">
        <f t="shared" si="4"/>
        <v>0</v>
      </c>
      <c r="S7" s="62" t="str">
        <f t="shared" si="5"/>
        <v/>
      </c>
    </row>
    <row r="8" spans="1:19" x14ac:dyDescent="0.25">
      <c r="A8" t="s">
        <v>329</v>
      </c>
      <c r="B8" s="61">
        <f>SUMIFS('Stato patrimoniale'!W:W,'Stato patrimoniale'!$AG:$AG,"",'Stato patrimoniale'!$Y:$Y,$A8,'Stato patrimoniale'!$B:$B,2)</f>
        <v>0</v>
      </c>
      <c r="C8" s="61">
        <f>SUMIFS('Stato patrimoniale'!AD:AD,'Stato patrimoniale'!$AG:$AG,"",'Stato patrimoniale'!$Y:$Y,$A8,'Stato patrimoniale'!$B:$B,2)</f>
        <v>0</v>
      </c>
      <c r="D8" s="61">
        <f t="shared" si="0"/>
        <v>0</v>
      </c>
      <c r="E8" s="62" t="str">
        <f t="shared" si="1"/>
        <v/>
      </c>
      <c r="O8" t="s">
        <v>329</v>
      </c>
      <c r="P8" s="61">
        <f>SUMIFS('Stato patrimoniale'!W:W,'Stato patrimoniale'!$AG:$AG,"&gt;0",'Stato patrimoniale'!$AI:$AI,$O8,'Stato patrimoniale'!$B:$B,2)</f>
        <v>0</v>
      </c>
      <c r="Q8" s="61">
        <f>SUMIFS('Stato patrimoniale'!AP:AP,'Stato patrimoniale'!$AG:$AG,"&gt;0",'Stato patrimoniale'!$AI:$AI,$O8,'Stato patrimoniale'!$B:$B,2)</f>
        <v>0</v>
      </c>
      <c r="R8" s="61">
        <f t="shared" si="4"/>
        <v>0</v>
      </c>
      <c r="S8" s="62" t="str">
        <f t="shared" si="5"/>
        <v/>
      </c>
    </row>
    <row r="9" spans="1:19" x14ac:dyDescent="0.25">
      <c r="A9" t="s">
        <v>331</v>
      </c>
      <c r="B9" s="61">
        <f>SUMIFS('Stato patrimoniale'!W:W,'Stato patrimoniale'!$AG:$AG,"",'Stato patrimoniale'!$Y:$Y,$A9,'Stato patrimoniale'!$B:$B,2)</f>
        <v>0</v>
      </c>
      <c r="C9" s="61">
        <f>SUMIFS('Stato patrimoniale'!AD:AD,'Stato patrimoniale'!$AG:$AG,"",'Stato patrimoniale'!$Y:$Y,$A9,'Stato patrimoniale'!$B:$B,2)</f>
        <v>0</v>
      </c>
      <c r="D9" s="61">
        <f t="shared" si="0"/>
        <v>0</v>
      </c>
      <c r="E9" s="62" t="str">
        <f t="shared" si="1"/>
        <v/>
      </c>
      <c r="O9" t="s">
        <v>331</v>
      </c>
      <c r="P9" s="61">
        <f>SUMIFS('Stato patrimoniale'!W:W,'Stato patrimoniale'!$AG:$AG,"&gt;0",'Stato patrimoniale'!$AI:$AI,$O9,'Stato patrimoniale'!$B:$B,2)</f>
        <v>0</v>
      </c>
      <c r="Q9" s="61">
        <f>SUMIFS('Stato patrimoniale'!AP:AP,'Stato patrimoniale'!$AG:$AG,"&gt;0",'Stato patrimoniale'!$AI:$AI,$O9,'Stato patrimoniale'!$B:$B,2)</f>
        <v>0</v>
      </c>
      <c r="R9" s="61">
        <f t="shared" si="4"/>
        <v>0</v>
      </c>
      <c r="S9" s="62" t="str">
        <f t="shared" si="5"/>
        <v/>
      </c>
    </row>
    <row r="10" spans="1:19" x14ac:dyDescent="0.25">
      <c r="A10" t="s">
        <v>327</v>
      </c>
      <c r="B10" s="61">
        <f>SUMIFS('Stato patrimoniale'!W:W,'Stato patrimoniale'!$AG:$AG,"",'Stato patrimoniale'!$Y:$Y,$A10,'Stato patrimoniale'!$B:$B,2)</f>
        <v>0</v>
      </c>
      <c r="C10" s="61">
        <f>SUMIFS('Stato patrimoniale'!AD:AD,'Stato patrimoniale'!$AG:$AG,"",'Stato patrimoniale'!$Y:$Y,$A10,'Stato patrimoniale'!$B:$B,2)</f>
        <v>0</v>
      </c>
      <c r="D10" s="61">
        <f t="shared" si="0"/>
        <v>0</v>
      </c>
      <c r="E10" s="62" t="str">
        <f t="shared" si="1"/>
        <v/>
      </c>
      <c r="O10" t="s">
        <v>327</v>
      </c>
      <c r="P10" s="61">
        <f>SUMIFS('Stato patrimoniale'!W:W,'Stato patrimoniale'!$AG:$AG,"&gt;0",'Stato patrimoniale'!$AI:$AI,$O10,'Stato patrimoniale'!$B:$B,2)</f>
        <v>0</v>
      </c>
      <c r="Q10" s="61">
        <f>SUMIFS('Stato patrimoniale'!AP:AP,'Stato patrimoniale'!$AG:$AG,"&gt;0",'Stato patrimoniale'!$AI:$AI,$O10,'Stato patrimoniale'!$B:$B,2)</f>
        <v>0</v>
      </c>
      <c r="R10" s="61">
        <f t="shared" si="4"/>
        <v>0</v>
      </c>
      <c r="S10" s="62" t="str">
        <f t="shared" si="5"/>
        <v/>
      </c>
    </row>
    <row r="11" spans="1:19" x14ac:dyDescent="0.25">
      <c r="C11" s="61"/>
      <c r="D11" s="61"/>
      <c r="E11" s="62"/>
      <c r="P11" s="61"/>
      <c r="Q11" s="61"/>
      <c r="R11" s="61"/>
      <c r="S11" s="62"/>
    </row>
    <row r="99" spans="24:24" x14ac:dyDescent="0.25">
      <c r="X99" t="s">
        <v>345</v>
      </c>
    </row>
    <row r="100" spans="24:24" x14ac:dyDescent="0.25">
      <c r="X100" t="s">
        <v>345</v>
      </c>
    </row>
    <row r="101" spans="24:24" x14ac:dyDescent="0.25">
      <c r="X101" t="s">
        <v>345</v>
      </c>
    </row>
    <row r="102" spans="24:24" x14ac:dyDescent="0.25">
      <c r="X102" t="s">
        <v>345</v>
      </c>
    </row>
    <row r="103" spans="24:24" x14ac:dyDescent="0.25">
      <c r="X103" t="s">
        <v>345</v>
      </c>
    </row>
    <row r="104" spans="24:24" x14ac:dyDescent="0.25">
      <c r="X104" t="s">
        <v>345</v>
      </c>
    </row>
    <row r="105" spans="24:24" x14ac:dyDescent="0.25">
      <c r="X105" t="s">
        <v>345</v>
      </c>
    </row>
    <row r="106" spans="24:24" x14ac:dyDescent="0.25">
      <c r="X106" t="s">
        <v>345</v>
      </c>
    </row>
    <row r="107" spans="24:24" x14ac:dyDescent="0.25">
      <c r="X107" t="s">
        <v>345</v>
      </c>
    </row>
    <row r="109" spans="24:24" x14ac:dyDescent="0.25">
      <c r="X109" t="s">
        <v>345</v>
      </c>
    </row>
    <row r="110" spans="24:24" x14ac:dyDescent="0.25">
      <c r="X110" t="s">
        <v>345</v>
      </c>
    </row>
    <row r="137" spans="1:24" x14ac:dyDescent="0.25">
      <c r="A137" t="s">
        <v>349</v>
      </c>
      <c r="C137" t="s">
        <v>348</v>
      </c>
      <c r="D137" t="s">
        <v>335</v>
      </c>
    </row>
    <row r="138" spans="1:24" x14ac:dyDescent="0.25">
      <c r="C138" t="s">
        <v>347</v>
      </c>
      <c r="X138" t="s">
        <v>346</v>
      </c>
    </row>
  </sheetData>
  <sortState xmlns:xlrd2="http://schemas.microsoft.com/office/spreadsheetml/2017/richdata2" ref="A3:E11">
    <sortCondition descending="1" ref="C3:C11"/>
  </sortState>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8961-F809-4930-BB5B-BBF205FDC1E6}">
  <sheetPr codeName="Foglio7"/>
  <dimension ref="A1:B180"/>
  <sheetViews>
    <sheetView zoomScaleNormal="100" workbookViewId="0">
      <selection activeCell="B2" sqref="B2"/>
    </sheetView>
  </sheetViews>
  <sheetFormatPr defaultColWidth="9.140625" defaultRowHeight="12.75" x14ac:dyDescent="0.2"/>
  <cols>
    <col min="1" max="1" width="9.140625" style="46"/>
    <col min="2" max="2" width="13.7109375" style="49" bestFit="1" customWidth="1"/>
    <col min="3" max="16384" width="9.140625" style="46"/>
  </cols>
  <sheetData>
    <row r="1" spans="1:2" x14ac:dyDescent="0.2">
      <c r="A1" s="47" t="s">
        <v>9</v>
      </c>
      <c r="B1" s="48" t="s">
        <v>272</v>
      </c>
    </row>
    <row r="2" spans="1:2" s="52" customFormat="1" x14ac:dyDescent="0.2">
      <c r="A2" s="50" t="s">
        <v>28</v>
      </c>
      <c r="B2" s="51">
        <f>INDEX(ValuteAutoDownload!K:K,MATCH("EUR",ValuteAutoDownload!H:H,0))</f>
        <v>0.86002564999999997</v>
      </c>
    </row>
    <row r="3" spans="1:2" s="47" customFormat="1" x14ac:dyDescent="0.2">
      <c r="A3" s="46" t="s">
        <v>39</v>
      </c>
      <c r="B3" s="49">
        <f>INDEX(ValuteAutoDownload!J:J,MATCH(A3,ValuteAutoDownload!H:H,0))*$B$2</f>
        <v>0.23414839900384901</v>
      </c>
    </row>
    <row r="4" spans="1:2" x14ac:dyDescent="0.2">
      <c r="A4" s="46" t="s">
        <v>42</v>
      </c>
      <c r="B4" s="49">
        <f>INDEX(ValuteAutoDownload!J:J,MATCH(A4,ValuteAutoDownload!H:H,0))*$B$2</f>
        <v>1.3456829945806499E-2</v>
      </c>
    </row>
    <row r="5" spans="1:2" x14ac:dyDescent="0.2">
      <c r="A5" s="46" t="s">
        <v>44</v>
      </c>
      <c r="B5" s="49">
        <f>INDEX(ValuteAutoDownload!J:J,MATCH(A5,ValuteAutoDownload!H:H,0))*$B$2</f>
        <v>1.0477425885998499E-2</v>
      </c>
    </row>
    <row r="6" spans="1:2" x14ac:dyDescent="0.2">
      <c r="A6" s="46" t="s">
        <v>46</v>
      </c>
      <c r="B6" s="49">
        <f>INDEX(ValuteAutoDownload!J:J,MATCH(A6,ValuteAutoDownload!H:H,0))*$B$2</f>
        <v>2.3384011420935001E-3</v>
      </c>
    </row>
    <row r="7" spans="1:2" x14ac:dyDescent="0.2">
      <c r="A7" s="46" t="s">
        <v>48</v>
      </c>
      <c r="B7" s="49" t="e">
        <f>INDEX(ValuteAutoDownload!J:J,MATCH(A7,ValuteAutoDownload!H:H,0))*$B$2</f>
        <v>#N/A</v>
      </c>
    </row>
    <row r="8" spans="1:2" x14ac:dyDescent="0.2">
      <c r="A8" s="46" t="s">
        <v>50</v>
      </c>
      <c r="B8" s="49">
        <f>INDEX(ValuteAutoDownload!J:J,MATCH(A8,ValuteAutoDownload!H:H,0))*$B$2</f>
        <v>9.3663673490200006E-4</v>
      </c>
    </row>
    <row r="9" spans="1:2" x14ac:dyDescent="0.2">
      <c r="A9" s="46" t="s">
        <v>52</v>
      </c>
      <c r="B9" s="49">
        <f>INDEX(ValuteAutoDownload!J:J,MATCH(A9,ValuteAutoDownload!H:H,0))*$B$2</f>
        <v>6.1576976514349994E-4</v>
      </c>
    </row>
    <row r="10" spans="1:2" x14ac:dyDescent="0.2">
      <c r="A10" s="46" t="s">
        <v>55</v>
      </c>
      <c r="B10" s="49">
        <f>INDEX(ValuteAutoDownload!J:J,MATCH(A10,ValuteAutoDownload!H:H,0))*$B$2</f>
        <v>0.61582307813354342</v>
      </c>
    </row>
    <row r="11" spans="1:2" x14ac:dyDescent="0.2">
      <c r="A11" s="46" t="s">
        <v>58</v>
      </c>
      <c r="B11" s="49">
        <f>INDEX(ValuteAutoDownload!J:J,MATCH(A11,ValuteAutoDownload!H:H,0))*$B$2</f>
        <v>0.48046056218821653</v>
      </c>
    </row>
    <row r="12" spans="1:2" x14ac:dyDescent="0.2">
      <c r="A12" s="46" t="s">
        <v>60</v>
      </c>
      <c r="B12" s="49">
        <f>INDEX(ValuteAutoDownload!J:J,MATCH(A12,ValuteAutoDownload!H:H,0))*$B$2</f>
        <v>0.50592679891087944</v>
      </c>
    </row>
    <row r="13" spans="1:2" x14ac:dyDescent="0.2">
      <c r="A13" s="46" t="s">
        <v>62</v>
      </c>
      <c r="B13" s="49">
        <f>INDEX(ValuteAutoDownload!J:J,MATCH(A13,ValuteAutoDownload!H:H,0))*$B$2</f>
        <v>0.511970809771641</v>
      </c>
    </row>
    <row r="14" spans="1:2" x14ac:dyDescent="0.2">
      <c r="A14" s="46" t="s">
        <v>64</v>
      </c>
      <c r="B14" s="49">
        <f>INDEX(ValuteAutoDownload!J:J,MATCH(A14,ValuteAutoDownload!H:H,0))*$B$2</f>
        <v>0.43001282499999999</v>
      </c>
    </row>
    <row r="15" spans="1:2" x14ac:dyDescent="0.2">
      <c r="A15" s="46" t="s">
        <v>66</v>
      </c>
      <c r="B15" s="49">
        <f>INDEX(ValuteAutoDownload!J:J,MATCH(A15,ValuteAutoDownload!H:H,0))*$B$2</f>
        <v>7.0066805720889989E-3</v>
      </c>
    </row>
    <row r="16" spans="1:2" x14ac:dyDescent="0.2">
      <c r="A16" s="46" t="s">
        <v>69</v>
      </c>
      <c r="B16" s="49" t="e">
        <f>INDEX(ValuteAutoDownload!J:J,MATCH(A16,ValuteAutoDownload!H:H,0))*$B$2</f>
        <v>#N/A</v>
      </c>
    </row>
    <row r="17" spans="1:2" x14ac:dyDescent="0.2">
      <c r="A17" s="46" t="s">
        <v>71</v>
      </c>
      <c r="B17" s="49">
        <f>INDEX(ValuteAutoDownload!J:J,MATCH(A17,ValuteAutoDownload!H:H,0))*$B$2</f>
        <v>2.286136678121967</v>
      </c>
    </row>
    <row r="18" spans="1:2" x14ac:dyDescent="0.2">
      <c r="A18" s="46" t="s">
        <v>73</v>
      </c>
      <c r="B18" s="49">
        <f>INDEX(ValuteAutoDownload!J:J,MATCH(A18,ValuteAutoDownload!H:H,0))*$B$2</f>
        <v>2.8757537684699999E-4</v>
      </c>
    </row>
    <row r="19" spans="1:2" x14ac:dyDescent="0.2">
      <c r="A19" s="46" t="s">
        <v>75</v>
      </c>
      <c r="B19" s="49">
        <f>INDEX(ValuteAutoDownload!J:J,MATCH(A19,ValuteAutoDownload!H:H,0))*$B$2</f>
        <v>0.67325210793666102</v>
      </c>
    </row>
    <row r="20" spans="1:2" x14ac:dyDescent="0.2">
      <c r="A20" s="46" t="s">
        <v>77</v>
      </c>
      <c r="B20" s="49">
        <f>INDEX(ValuteAutoDownload!J:J,MATCH(A20,ValuteAutoDownload!H:H,0))*$B$2</f>
        <v>0.12447013628346</v>
      </c>
    </row>
    <row r="21" spans="1:2" x14ac:dyDescent="0.2">
      <c r="A21" s="46" t="s">
        <v>80</v>
      </c>
      <c r="B21" s="49">
        <f>INDEX(ValuteAutoDownload!J:J,MATCH(A21,ValuteAutoDownload!H:H,0))*$B$2</f>
        <v>0.17175727060766999</v>
      </c>
    </row>
    <row r="22" spans="1:2" x14ac:dyDescent="0.2">
      <c r="A22" s="46" t="s">
        <v>83</v>
      </c>
      <c r="B22" s="49">
        <f>INDEX(ValuteAutoDownload!J:J,MATCH(A22,ValuteAutoDownload!H:H,0))*$B$2</f>
        <v>0.86002564999999997</v>
      </c>
    </row>
    <row r="23" spans="1:2" x14ac:dyDescent="0.2">
      <c r="A23" s="46" t="s">
        <v>85</v>
      </c>
      <c r="B23" s="49">
        <f>INDEX(ValuteAutoDownload!J:J,MATCH(A23,ValuteAutoDownload!H:H,0))*$B$2</f>
        <v>6.2351902626282492E-2</v>
      </c>
    </row>
    <row r="24" spans="1:2" x14ac:dyDescent="0.2">
      <c r="A24" s="46" t="s">
        <v>87</v>
      </c>
      <c r="B24" s="49">
        <f>INDEX(ValuteAutoDownload!J:J,MATCH(A24,ValuteAutoDownload!H:H,0))*$B$2</f>
        <v>0.3122769733645045</v>
      </c>
    </row>
    <row r="25" spans="1:2" x14ac:dyDescent="0.2">
      <c r="A25" s="46" t="s">
        <v>90</v>
      </c>
      <c r="B25" s="49">
        <f>INDEX(ValuteAutoDownload!J:J,MATCH(A25,ValuteAutoDownload!H:H,0))*$B$2</f>
        <v>0.43001282499999999</v>
      </c>
    </row>
    <row r="26" spans="1:2" x14ac:dyDescent="0.2">
      <c r="A26" s="46" t="s">
        <v>92</v>
      </c>
      <c r="B26" s="49">
        <f>INDEX(ValuteAutoDownload!J:J,MATCH(A26,ValuteAutoDownload!H:H,0))*$B$2</f>
        <v>0.62257776258992603</v>
      </c>
    </row>
    <row r="27" spans="1:2" x14ac:dyDescent="0.2">
      <c r="A27" s="46" t="s">
        <v>95</v>
      </c>
      <c r="B27" s="49">
        <f>INDEX(ValuteAutoDownload!J:J,MATCH(A27,ValuteAutoDownload!H:H,0))*$B$2</f>
        <v>3.827372150195E-4</v>
      </c>
    </row>
    <row r="28" spans="1:2" x14ac:dyDescent="0.2">
      <c r="A28" s="46" t="s">
        <v>97</v>
      </c>
      <c r="B28" s="49">
        <f>INDEX(ValuteAutoDownload!J:J,MATCH(A28,ValuteAutoDownload!H:H,0))*$B$2</f>
        <v>1.0971221309294839</v>
      </c>
    </row>
    <row r="29" spans="1:2" x14ac:dyDescent="0.2">
      <c r="A29" s="46" t="s">
        <v>100</v>
      </c>
      <c r="B29" s="49">
        <f>INDEX(ValuteAutoDownload!J:J,MATCH(A29,ValuteAutoDownload!H:H,0))*$B$2</f>
        <v>9.5536809355899991E-4</v>
      </c>
    </row>
    <row r="30" spans="1:2" x14ac:dyDescent="0.2">
      <c r="A30" s="46" t="s">
        <v>103</v>
      </c>
      <c r="B30" s="49">
        <f>INDEX(ValuteAutoDownload!J:J,MATCH(A30,ValuteAutoDownload!H:H,0))*$B$2</f>
        <v>0.12671494083406401</v>
      </c>
    </row>
    <row r="31" spans="1:2" x14ac:dyDescent="0.2">
      <c r="A31" s="46" t="s">
        <v>106</v>
      </c>
      <c r="B31" s="49">
        <f>INDEX(ValuteAutoDownload!J:J,MATCH(A31,ValuteAutoDownload!H:H,0))*$B$2</f>
        <v>2.3409898193E-4</v>
      </c>
    </row>
    <row r="32" spans="1:2" x14ac:dyDescent="0.2">
      <c r="A32" s="46" t="s">
        <v>109</v>
      </c>
      <c r="B32" s="49">
        <f>INDEX(ValuteAutoDownload!J:J,MATCH(A32,ValuteAutoDownload!H:H,0))*$B$2</f>
        <v>1.895014918236E-3</v>
      </c>
    </row>
    <row r="33" spans="1:2" x14ac:dyDescent="0.2">
      <c r="A33" s="46" t="s">
        <v>111</v>
      </c>
      <c r="B33" s="49">
        <f>INDEX(ValuteAutoDownload!J:J,MATCH(A33,ValuteAutoDownload!H:H,0))*$B$2</f>
        <v>3.5834404950085504E-2</v>
      </c>
    </row>
    <row r="34" spans="1:2" x14ac:dyDescent="0.2">
      <c r="A34" s="46" t="s">
        <v>112</v>
      </c>
      <c r="B34" s="49">
        <f>INDEX(ValuteAutoDownload!J:J,MATCH(A34,ValuteAutoDownload!H:H,0))*$B$2</f>
        <v>9.0811054411714994E-3</v>
      </c>
    </row>
    <row r="35" spans="1:2" x14ac:dyDescent="0.2">
      <c r="A35" s="46" t="s">
        <v>113</v>
      </c>
      <c r="B35" s="49">
        <f>INDEX(ValuteAutoDownload!J:J,MATCH(A35,ValuteAutoDownload!H:H,0))*$B$2</f>
        <v>4.1275357224810502E-2</v>
      </c>
    </row>
    <row r="36" spans="1:2" x14ac:dyDescent="0.2">
      <c r="A36" s="46" t="s">
        <v>115</v>
      </c>
      <c r="B36" s="49">
        <f>INDEX(ValuteAutoDownload!J:J,MATCH(A36,ValuteAutoDownload!H:H,0))*$B$2</f>
        <v>4.8391837271634991E-3</v>
      </c>
    </row>
    <row r="37" spans="1:2" x14ac:dyDescent="0.2">
      <c r="A37" s="46" t="s">
        <v>116</v>
      </c>
      <c r="B37" s="49">
        <f>INDEX(ValuteAutoDownload!J:J,MATCH(A37,ValuteAutoDownload!H:H,0))*$B$2</f>
        <v>0.13401110603994301</v>
      </c>
    </row>
    <row r="38" spans="1:2" x14ac:dyDescent="0.2">
      <c r="A38" s="46" t="s">
        <v>118</v>
      </c>
      <c r="B38" s="49">
        <f>INDEX(ValuteAutoDownload!J:J,MATCH(A38,ValuteAutoDownload!H:H,0))*$B$2</f>
        <v>1.4521154688964E-2</v>
      </c>
    </row>
    <row r="39" spans="1:2" x14ac:dyDescent="0.2">
      <c r="A39" s="46" t="s">
        <v>120</v>
      </c>
      <c r="B39" s="49">
        <f>INDEX(ValuteAutoDownload!J:J,MATCH(A39,ValuteAutoDownload!H:H,0))*$B$2</f>
        <v>6.4681755113414991E-3</v>
      </c>
    </row>
    <row r="40" spans="1:2" x14ac:dyDescent="0.2">
      <c r="A40" s="46" t="s">
        <v>122</v>
      </c>
      <c r="B40" s="49">
        <f>INDEX(ValuteAutoDownload!J:J,MATCH(A40,ValuteAutoDownload!H:H,0))*$B$2</f>
        <v>1.6371009660318497E-2</v>
      </c>
    </row>
    <row r="41" spans="1:2" x14ac:dyDescent="0.2">
      <c r="A41" s="46" t="s">
        <v>124</v>
      </c>
      <c r="B41" s="49">
        <f>INDEX(ValuteAutoDownload!J:J,MATCH(A41,ValuteAutoDownload!H:H,0))*$B$2</f>
        <v>5.5918549553509493E-2</v>
      </c>
    </row>
    <row r="42" spans="1:2" x14ac:dyDescent="0.2">
      <c r="A42" s="46" t="s">
        <v>125</v>
      </c>
      <c r="B42" s="49">
        <f>INDEX(ValuteAutoDownload!J:J,MATCH(A42,ValuteAutoDownload!H:H,0))*$B$2</f>
        <v>5.4322746159164992E-3</v>
      </c>
    </row>
    <row r="43" spans="1:2" x14ac:dyDescent="0.2">
      <c r="A43" s="46" t="s">
        <v>10</v>
      </c>
      <c r="B43" s="49">
        <f>INDEX(ValuteAutoDownload!J:J,MATCH(A43,ValuteAutoDownload!H:H,0))*$B$2</f>
        <v>1.0000000018919131</v>
      </c>
    </row>
    <row r="44" spans="1:2" x14ac:dyDescent="0.2">
      <c r="A44" s="46" t="s">
        <v>127</v>
      </c>
      <c r="B44" s="49">
        <f>INDEX(ValuteAutoDownload!J:J,MATCH(A44,ValuteAutoDownload!H:H,0))*$B$2</f>
        <v>0.38736087631877347</v>
      </c>
    </row>
    <row r="45" spans="1:2" x14ac:dyDescent="0.2">
      <c r="A45" s="46" t="s">
        <v>128</v>
      </c>
      <c r="B45" s="49">
        <f>INDEX(ValuteAutoDownload!J:J,MATCH(A45,ValuteAutoDownload!H:H,0))*$B$2</f>
        <v>1.1588444689791968</v>
      </c>
    </row>
    <row r="46" spans="1:2" x14ac:dyDescent="0.2">
      <c r="A46" s="46" t="s">
        <v>130</v>
      </c>
      <c r="B46" s="49">
        <f>INDEX(ValuteAutoDownload!J:J,MATCH(A46,ValuteAutoDownload!H:H,0))*$B$2</f>
        <v>0.3221506698444595</v>
      </c>
    </row>
    <row r="47" spans="1:2" x14ac:dyDescent="0.2">
      <c r="A47" s="46" t="s">
        <v>131</v>
      </c>
      <c r="B47" s="49">
        <f>INDEX(ValuteAutoDownload!J:J,MATCH(A47,ValuteAutoDownload!H:H,0))*$B$2</f>
        <v>7.4052302187093993E-2</v>
      </c>
    </row>
    <row r="48" spans="1:2" x14ac:dyDescent="0.2">
      <c r="A48" s="46" t="s">
        <v>132</v>
      </c>
      <c r="B48" s="49">
        <f>INDEX(ValuteAutoDownload!J:J,MATCH(A48,ValuteAutoDownload!H:H,0))*$B$2</f>
        <v>1.1608925426623635</v>
      </c>
    </row>
    <row r="49" spans="1:2" x14ac:dyDescent="0.2">
      <c r="A49" s="46" t="s">
        <v>133</v>
      </c>
      <c r="B49" s="49">
        <f>INDEX(ValuteAutoDownload!J:J,MATCH(A49,ValuteAutoDownload!H:H,0))*$B$2</f>
        <v>1.1880970546285499E-2</v>
      </c>
    </row>
    <row r="50" spans="1:2" x14ac:dyDescent="0.2">
      <c r="A50" s="46" t="s">
        <v>134</v>
      </c>
      <c r="B50" s="49">
        <f>INDEX(ValuteAutoDownload!J:J,MATCH(A50,ValuteAutoDownload!H:H,0))*$B$2</f>
        <v>9.8515938207499999E-5</v>
      </c>
    </row>
    <row r="51" spans="1:2" x14ac:dyDescent="0.2">
      <c r="A51" s="46" t="s">
        <v>135</v>
      </c>
      <c r="B51" s="49">
        <f>INDEX(ValuteAutoDownload!J:J,MATCH(A51,ValuteAutoDownload!H:H,0))*$B$2</f>
        <v>0.112818044363409</v>
      </c>
    </row>
    <row r="52" spans="1:2" x14ac:dyDescent="0.2">
      <c r="A52" s="46" t="s">
        <v>136</v>
      </c>
      <c r="B52" s="49">
        <f>INDEX(ValuteAutoDownload!J:J,MATCH(A52,ValuteAutoDownload!H:H,0))*$B$2</f>
        <v>4.1106301982789997E-3</v>
      </c>
    </row>
    <row r="53" spans="1:2" x14ac:dyDescent="0.2">
      <c r="A53" s="46" t="s">
        <v>137</v>
      </c>
      <c r="B53" s="49">
        <f>INDEX(ValuteAutoDownload!J:J,MATCH(A53,ValuteAutoDownload!H:H,0))*$B$2</f>
        <v>0.109762700038706</v>
      </c>
    </row>
    <row r="54" spans="1:2" x14ac:dyDescent="0.2">
      <c r="A54" s="46" t="s">
        <v>139</v>
      </c>
      <c r="B54" s="49">
        <f>INDEX(ValuteAutoDownload!J:J,MATCH(A54,ValuteAutoDownload!H:H,0))*$B$2</f>
        <v>3.2303294435802501E-2</v>
      </c>
    </row>
    <row r="55" spans="1:2" x14ac:dyDescent="0.2">
      <c r="A55" s="46" t="s">
        <v>140</v>
      </c>
      <c r="B55" s="49" t="e">
        <f>INDEX(ValuteAutoDownload!J:J,MATCH(A55,ValuteAutoDownload!H:H,0))*$B$2</f>
        <v>#N/A</v>
      </c>
    </row>
    <row r="56" spans="1:2" x14ac:dyDescent="0.2">
      <c r="A56" s="46" t="s">
        <v>141</v>
      </c>
      <c r="B56" s="49">
        <f>INDEX(ValuteAutoDownload!J:J,MATCH(A56,ValuteAutoDownload!H:H,0))*$B$2</f>
        <v>6.5885017000329995E-3</v>
      </c>
    </row>
    <row r="57" spans="1:2" x14ac:dyDescent="0.2">
      <c r="A57" s="46" t="s">
        <v>143</v>
      </c>
      <c r="B57" s="49">
        <f>INDEX(ValuteAutoDownload!J:J,MATCH(A57,ValuteAutoDownload!H:H,0))*$B$2</f>
        <v>2.8094113898289997E-3</v>
      </c>
    </row>
    <row r="58" spans="1:2" x14ac:dyDescent="0.2">
      <c r="A58" s="46" t="s">
        <v>145</v>
      </c>
      <c r="B58" s="49">
        <f>INDEX(ValuteAutoDownload!J:J,MATCH(A58,ValuteAutoDownload!H:H,0))*$B$2</f>
        <v>4.83420417865E-5</v>
      </c>
    </row>
    <row r="59" spans="1:2" x14ac:dyDescent="0.2">
      <c r="A59" s="46" t="s">
        <v>147</v>
      </c>
      <c r="B59" s="49">
        <f>INDEX(ValuteAutoDownload!J:J,MATCH(A59,ValuteAutoDownload!H:H,0))*$B$2</f>
        <v>0.29762905089473052</v>
      </c>
    </row>
    <row r="60" spans="1:2" x14ac:dyDescent="0.2">
      <c r="A60" s="46" t="s">
        <v>149</v>
      </c>
      <c r="B60" s="49">
        <f>INDEX(ValuteAutoDownload!J:J,MATCH(A60,ValuteAutoDownload!H:H,0))*$B$2</f>
        <v>9.0106951412060009E-3</v>
      </c>
    </row>
    <row r="61" spans="1:2" x14ac:dyDescent="0.2">
      <c r="A61" s="46" t="s">
        <v>151</v>
      </c>
      <c r="B61" s="49">
        <f>INDEX(ValuteAutoDownload!J:J,MATCH(A61,ValuteAutoDownload!H:H,0))*$B$2</f>
        <v>6.5650918018399999E-4</v>
      </c>
    </row>
    <row r="62" spans="1:2" x14ac:dyDescent="0.2">
      <c r="A62" s="46" t="s">
        <v>152</v>
      </c>
      <c r="B62" s="49">
        <f>INDEX(ValuteAutoDownload!J:J,MATCH(A62,ValuteAutoDownload!H:H,0))*$B$2</f>
        <v>6.5361949399999996E-7</v>
      </c>
    </row>
    <row r="63" spans="1:2" x14ac:dyDescent="0.2">
      <c r="A63" s="46" t="s">
        <v>153</v>
      </c>
      <c r="B63" s="49">
        <f>INDEX(ValuteAutoDownload!J:J,MATCH(A63,ValuteAutoDownload!H:H,0))*$B$2</f>
        <v>6.9730019676349994E-3</v>
      </c>
    </row>
    <row r="64" spans="1:2" x14ac:dyDescent="0.2">
      <c r="A64" s="46" t="s">
        <v>155</v>
      </c>
      <c r="B64" s="49">
        <f>INDEX(ValuteAutoDownload!J:J,MATCH(A64,ValuteAutoDownload!H:H,0))*$B$2</f>
        <v>5.4746566799484999E-3</v>
      </c>
    </row>
    <row r="65" spans="1:2" x14ac:dyDescent="0.2">
      <c r="A65" s="46" t="s">
        <v>156</v>
      </c>
      <c r="B65" s="49">
        <f>INDEX(ValuteAutoDownload!J:J,MATCH(A65,ValuteAutoDownload!H:H,0))*$B$2</f>
        <v>1.2129955970199044</v>
      </c>
    </row>
    <row r="66" spans="1:2" x14ac:dyDescent="0.2">
      <c r="A66" s="46" t="s">
        <v>158</v>
      </c>
      <c r="B66" s="49">
        <f>INDEX(ValuteAutoDownload!J:J,MATCH(A66,ValuteAutoDownload!H:H,0))*$B$2</f>
        <v>5.4078842884825E-3</v>
      </c>
    </row>
    <row r="67" spans="1:2" x14ac:dyDescent="0.2">
      <c r="A67" s="46" t="s">
        <v>160</v>
      </c>
      <c r="B67" s="49">
        <f>INDEX(ValuteAutoDownload!J:J,MATCH(A67,ValuteAutoDownload!H:H,0))*$B$2</f>
        <v>6.6332488346025004E-3</v>
      </c>
    </row>
    <row r="68" spans="1:2" x14ac:dyDescent="0.2">
      <c r="A68" s="46" t="s">
        <v>161</v>
      </c>
      <c r="B68" s="49">
        <f>INDEX(ValuteAutoDownload!J:J,MATCH(A68,ValuteAutoDownload!H:H,0))*$B$2</f>
        <v>9.8344879105714995E-3</v>
      </c>
    </row>
    <row r="69" spans="1:2" x14ac:dyDescent="0.2">
      <c r="A69" s="46" t="s">
        <v>162</v>
      </c>
      <c r="B69" s="49">
        <f>INDEX(ValuteAutoDownload!J:J,MATCH(A69,ValuteAutoDownload!H:H,0))*$B$2</f>
        <v>2.1410338556750001E-4</v>
      </c>
    </row>
    <row r="70" spans="1:2" x14ac:dyDescent="0.2">
      <c r="A70" s="46" t="s">
        <v>163</v>
      </c>
      <c r="B70" s="49">
        <f>INDEX(ValuteAutoDownload!J:J,MATCH(A70,ValuteAutoDownload!H:H,0))*$B$2</f>
        <v>2.0353539038029996E-3</v>
      </c>
    </row>
    <row r="71" spans="1:2" x14ac:dyDescent="0.2">
      <c r="A71" s="46" t="s">
        <v>164</v>
      </c>
      <c r="B71" s="49">
        <f>INDEX(ValuteAutoDownload!J:J,MATCH(A71,ValuteAutoDownload!H:H,0))*$B$2</f>
        <v>5.7108283236950003E-4</v>
      </c>
    </row>
    <row r="72" spans="1:2" x14ac:dyDescent="0.2">
      <c r="A72" s="46" t="s">
        <v>166</v>
      </c>
      <c r="B72" s="49">
        <f>INDEX(ValuteAutoDownload!J:J,MATCH(A72,ValuteAutoDownload!H:H,0))*$B$2</f>
        <v>2.790768854621132</v>
      </c>
    </row>
    <row r="73" spans="1:2" x14ac:dyDescent="0.2">
      <c r="A73" s="46" t="s">
        <v>167</v>
      </c>
      <c r="B73" s="49">
        <f>INDEX(ValuteAutoDownload!J:J,MATCH(A73,ValuteAutoDownload!H:H,0))*$B$2</f>
        <v>1.8211817161834999E-3</v>
      </c>
    </row>
    <row r="74" spans="1:2" x14ac:dyDescent="0.2">
      <c r="A74" s="46" t="s">
        <v>168</v>
      </c>
      <c r="B74" s="49">
        <f>INDEX(ValuteAutoDownload!J:J,MATCH(A74,ValuteAutoDownload!H:H,0))*$B$2</f>
        <v>3.9363374000499999E-5</v>
      </c>
    </row>
    <row r="75" spans="1:2" x14ac:dyDescent="0.2">
      <c r="A75" s="46" t="s">
        <v>169</v>
      </c>
      <c r="B75" s="49">
        <f>INDEX(ValuteAutoDownload!J:J,MATCH(A75,ValuteAutoDownload!H:H,0))*$B$2</f>
        <v>9.6064865105E-6</v>
      </c>
    </row>
    <row r="76" spans="1:2" x14ac:dyDescent="0.2">
      <c r="A76" s="46" t="s">
        <v>171</v>
      </c>
      <c r="B76" s="49">
        <f>INDEX(ValuteAutoDownload!J:J,MATCH(A76,ValuteAutoDownload!H:H,0))*$B$2</f>
        <v>2.5965636417104999E-3</v>
      </c>
    </row>
    <row r="77" spans="1:2" x14ac:dyDescent="0.2">
      <c r="A77" s="46" t="s">
        <v>172</v>
      </c>
      <c r="B77" s="49">
        <f>INDEX(ValuteAutoDownload!J:J,MATCH(A77,ValuteAutoDownload!H:H,0))*$B$2</f>
        <v>4.6990769485219996E-3</v>
      </c>
    </row>
    <row r="78" spans="1:2" x14ac:dyDescent="0.2">
      <c r="A78" s="46" t="s">
        <v>173</v>
      </c>
      <c r="B78" s="49">
        <f>INDEX(ValuteAutoDownload!J:J,MATCH(A78,ValuteAutoDownload!H:H,0))*$B$2</f>
        <v>5.2667927804717497E-2</v>
      </c>
    </row>
    <row r="79" spans="1:2" x14ac:dyDescent="0.2">
      <c r="A79" s="46" t="s">
        <v>174</v>
      </c>
      <c r="B79" s="49">
        <f>INDEX(ValuteAutoDownload!J:J,MATCH(A79,ValuteAutoDownload!H:H,0))*$B$2</f>
        <v>0.135181222538307</v>
      </c>
    </row>
    <row r="80" spans="1:2" x14ac:dyDescent="0.2">
      <c r="A80" s="46" t="s">
        <v>175</v>
      </c>
      <c r="B80" s="49">
        <f>INDEX(ValuteAutoDownload!J:J,MATCH(A80,ValuteAutoDownload!H:H,0))*$B$2</f>
        <v>9.3320394252002503E-2</v>
      </c>
    </row>
    <row r="81" spans="1:2" x14ac:dyDescent="0.2">
      <c r="A81" s="46" t="s">
        <v>176</v>
      </c>
      <c r="B81" s="49">
        <f>INDEX(ValuteAutoDownload!J:J,MATCH(A81,ValuteAutoDownload!H:H,0))*$B$2</f>
        <v>4.9606847108929E-2</v>
      </c>
    </row>
    <row r="82" spans="1:2" x14ac:dyDescent="0.2">
      <c r="A82" s="46" t="s">
        <v>177</v>
      </c>
      <c r="B82" s="49">
        <f>INDEX(ValuteAutoDownload!J:J,MATCH(A82,ValuteAutoDownload!H:H,0))*$B$2</f>
        <v>2.0530532316799998E-4</v>
      </c>
    </row>
    <row r="83" spans="1:2" x14ac:dyDescent="0.2">
      <c r="A83" s="46" t="s">
        <v>178</v>
      </c>
      <c r="B83" s="49">
        <f>INDEX(ValuteAutoDownload!J:J,MATCH(A83,ValuteAutoDownload!H:H,0))*$B$2</f>
        <v>1.6167974804866498E-2</v>
      </c>
    </row>
    <row r="84" spans="1:2" x14ac:dyDescent="0.2">
      <c r="A84" s="46" t="s">
        <v>179</v>
      </c>
      <c r="B84" s="49">
        <f>INDEX(ValuteAutoDownload!J:J,MATCH(A84,ValuteAutoDownload!H:H,0))*$B$2</f>
        <v>4.0954421452999996E-4</v>
      </c>
    </row>
    <row r="85" spans="1:2" x14ac:dyDescent="0.2">
      <c r="A85" s="46" t="s">
        <v>180</v>
      </c>
      <c r="B85" s="49">
        <f>INDEX(ValuteAutoDownload!J:J,MATCH(A85,ValuteAutoDownload!H:H,0))*$B$2</f>
        <v>2.4050617302249998E-4</v>
      </c>
    </row>
    <row r="86" spans="1:2" x14ac:dyDescent="0.2">
      <c r="A86" s="46" t="s">
        <v>181</v>
      </c>
      <c r="B86" s="49">
        <f>INDEX(ValuteAutoDownload!J:J,MATCH(A86,ValuteAutoDownload!H:H,0))*$B$2</f>
        <v>0.106580931943453</v>
      </c>
    </row>
    <row r="87" spans="1:2" x14ac:dyDescent="0.2">
      <c r="A87" s="46" t="s">
        <v>182</v>
      </c>
      <c r="B87" s="49" t="e">
        <f>INDEX(ValuteAutoDownload!J:J,MATCH(A87,ValuteAutoDownload!H:H,0))*$B$2</f>
        <v>#N/A</v>
      </c>
    </row>
    <row r="88" spans="1:2" x14ac:dyDescent="0.2">
      <c r="A88" s="46" t="s">
        <v>183</v>
      </c>
      <c r="B88" s="49">
        <f>INDEX(ValuteAutoDownload!J:J,MATCH(A88,ValuteAutoDownload!H:H,0))*$B$2</f>
        <v>2.1603156307480002E-2</v>
      </c>
    </row>
    <row r="89" spans="1:2" x14ac:dyDescent="0.2">
      <c r="A89" s="46" t="s">
        <v>184</v>
      </c>
      <c r="B89" s="49">
        <f>INDEX(ValuteAutoDownload!J:J,MATCH(A89,ValuteAutoDownload!H:H,0))*$B$2</f>
        <v>1.8177046324805501E-2</v>
      </c>
    </row>
    <row r="90" spans="1:2" x14ac:dyDescent="0.2">
      <c r="A90" s="46" t="s">
        <v>185</v>
      </c>
      <c r="B90" s="49">
        <f>INDEX(ValuteAutoDownload!J:J,MATCH(A90,ValuteAutoDownload!H:H,0))*$B$2</f>
        <v>5.5773403024558993E-2</v>
      </c>
    </row>
    <row r="91" spans="1:2" x14ac:dyDescent="0.2">
      <c r="A91" s="46" t="s">
        <v>186</v>
      </c>
      <c r="B91" s="49">
        <f>INDEX(ValuteAutoDownload!J:J,MATCH(A91,ValuteAutoDownload!H:H,0))*$B$2</f>
        <v>4.9636380389749999E-4</v>
      </c>
    </row>
    <row r="92" spans="1:2" x14ac:dyDescent="0.2">
      <c r="A92" s="46" t="s">
        <v>187</v>
      </c>
      <c r="B92" s="49">
        <f>INDEX(ValuteAutoDownload!J:J,MATCH(A92,ValuteAutoDownload!H:H,0))*$B$2</f>
        <v>4.9800404481717998E-2</v>
      </c>
    </row>
    <row r="93" spans="1:2" x14ac:dyDescent="0.2">
      <c r="A93" s="46" t="s">
        <v>189</v>
      </c>
      <c r="B93" s="49">
        <f>INDEX(ValuteAutoDownload!J:J,MATCH(A93,ValuteAutoDownload!H:H,0))*$B$2</f>
        <v>0.21680968848215051</v>
      </c>
    </row>
    <row r="94" spans="1:2" x14ac:dyDescent="0.2">
      <c r="A94" s="46" t="s">
        <v>191</v>
      </c>
      <c r="B94" s="49">
        <f>INDEX(ValuteAutoDownload!J:J,MATCH(A94,ValuteAutoDownload!H:H,0))*$B$2</f>
        <v>1.3493166029518999E-2</v>
      </c>
    </row>
    <row r="95" spans="1:2" x14ac:dyDescent="0.2">
      <c r="A95" s="46" t="s">
        <v>192</v>
      </c>
      <c r="B95" s="49">
        <f>INDEX(ValuteAutoDownload!J:J,MATCH(A95,ValuteAutoDownload!H:H,0))*$B$2</f>
        <v>5.2667927804717497E-2</v>
      </c>
    </row>
    <row r="96" spans="1:2" x14ac:dyDescent="0.2">
      <c r="A96" s="46" t="s">
        <v>193</v>
      </c>
      <c r="B96" s="49">
        <f>INDEX(ValuteAutoDownload!J:J,MATCH(A96,ValuteAutoDownload!H:H,0))*$B$2</f>
        <v>6.2526444831950006E-4</v>
      </c>
    </row>
    <row r="97" spans="1:2" x14ac:dyDescent="0.2">
      <c r="A97" s="46" t="s">
        <v>194</v>
      </c>
      <c r="B97" s="49">
        <f>INDEX(ValuteAutoDownload!J:J,MATCH(A97,ValuteAutoDownload!H:H,0))*$B$2</f>
        <v>2.3377432224712502E-2</v>
      </c>
    </row>
    <row r="98" spans="1:2" x14ac:dyDescent="0.2">
      <c r="A98" s="46" t="s">
        <v>195</v>
      </c>
      <c r="B98" s="49">
        <f>INDEX(ValuteAutoDownload!J:J,MATCH(A98,ValuteAutoDownload!H:H,0))*$B$2</f>
        <v>9.3016160178315002E-2</v>
      </c>
    </row>
    <row r="99" spans="1:2" x14ac:dyDescent="0.2">
      <c r="A99" s="46" t="s">
        <v>197</v>
      </c>
      <c r="B99" s="49">
        <f>INDEX(ValuteAutoDownload!J:J,MATCH(A99,ValuteAutoDownload!H:H,0))*$B$2</f>
        <v>5.6438495260729997E-3</v>
      </c>
    </row>
    <row r="100" spans="1:2" x14ac:dyDescent="0.2">
      <c r="A100" s="46" t="s">
        <v>198</v>
      </c>
      <c r="B100" s="49">
        <f>INDEX(ValuteAutoDownload!J:J,MATCH(A100,ValuteAutoDownload!H:H,0))*$B$2</f>
        <v>0.50279756118232855</v>
      </c>
    </row>
    <row r="101" spans="1:2" x14ac:dyDescent="0.2">
      <c r="A101" s="46" t="s">
        <v>200</v>
      </c>
      <c r="B101" s="49">
        <f>INDEX(ValuteAutoDownload!J:J,MATCH(A101,ValuteAutoDownload!H:H,0))*$B$2</f>
        <v>2.2366045672420229</v>
      </c>
    </row>
    <row r="102" spans="1:2" x14ac:dyDescent="0.2">
      <c r="A102" s="46" t="s">
        <v>201</v>
      </c>
      <c r="B102" s="49">
        <f>INDEX(ValuteAutoDownload!J:J,MATCH(A102,ValuteAutoDownload!H:H,0))*$B$2</f>
        <v>0.86002564999999997</v>
      </c>
    </row>
    <row r="103" spans="1:2" x14ac:dyDescent="0.2">
      <c r="A103" s="46" t="s">
        <v>203</v>
      </c>
      <c r="B103" s="49">
        <f>INDEX(ValuteAutoDownload!J:J,MATCH(A103,ValuteAutoDownload!H:H,0))*$B$2</f>
        <v>0.25213408102127299</v>
      </c>
    </row>
    <row r="104" spans="1:2" x14ac:dyDescent="0.2">
      <c r="A104" s="46" t="s">
        <v>205</v>
      </c>
      <c r="B104" s="49">
        <f>INDEX(ValuteAutoDownload!J:J,MATCH(A104,ValuteAutoDownload!H:H,0))*$B$2</f>
        <v>0.1972889810830675</v>
      </c>
    </row>
    <row r="105" spans="1:2" x14ac:dyDescent="0.2">
      <c r="A105" s="46" t="s">
        <v>206</v>
      </c>
      <c r="B105" s="49">
        <f>INDEX(ValuteAutoDownload!J:J,MATCH(A105,ValuteAutoDownload!H:H,0))*$B$2</f>
        <v>1.3954002173814999E-2</v>
      </c>
    </row>
    <row r="106" spans="1:2" x14ac:dyDescent="0.2">
      <c r="A106" s="46" t="s">
        <v>208</v>
      </c>
      <c r="B106" s="49">
        <f>INDEX(ValuteAutoDownload!J:J,MATCH(A106,ValuteAutoDownload!H:H,0))*$B$2</f>
        <v>3.0829253472985001E-3</v>
      </c>
    </row>
    <row r="107" spans="1:2" x14ac:dyDescent="0.2">
      <c r="A107" s="46" t="s">
        <v>210</v>
      </c>
      <c r="B107" s="49">
        <f>INDEX(ValuteAutoDownload!J:J,MATCH(A107,ValuteAutoDownload!H:H,0))*$B$2</f>
        <v>0.23654160958061701</v>
      </c>
    </row>
    <row r="108" spans="1:2" x14ac:dyDescent="0.2">
      <c r="A108" s="46" t="s">
        <v>212</v>
      </c>
      <c r="B108" s="49">
        <f>INDEX(ValuteAutoDownload!J:J,MATCH(A108,ValuteAutoDownload!H:H,0))*$B$2</f>
        <v>1.3899734555299998E-4</v>
      </c>
    </row>
    <row r="109" spans="1:2" x14ac:dyDescent="0.2">
      <c r="A109" s="46" t="s">
        <v>214</v>
      </c>
      <c r="B109" s="49">
        <f>INDEX(ValuteAutoDownload!J:J,MATCH(A109,ValuteAutoDownload!H:H,0))*$B$2</f>
        <v>0.23589929082365799</v>
      </c>
    </row>
    <row r="110" spans="1:2" x14ac:dyDescent="0.2">
      <c r="A110" s="46" t="s">
        <v>215</v>
      </c>
      <c r="B110" s="49">
        <f>INDEX(ValuteAutoDownload!J:J,MATCH(A110,ValuteAutoDownload!H:H,0))*$B$2</f>
        <v>0.19091471177244951</v>
      </c>
    </row>
    <row r="111" spans="1:2" x14ac:dyDescent="0.2">
      <c r="A111" s="46" t="s">
        <v>217</v>
      </c>
      <c r="B111" s="49">
        <f>INDEX(ValuteAutoDownload!J:J,MATCH(A111,ValuteAutoDownload!H:H,0))*$B$2</f>
        <v>8.5107192295784985E-3</v>
      </c>
    </row>
    <row r="112" spans="1:2" x14ac:dyDescent="0.2">
      <c r="A112" s="46" t="s">
        <v>218</v>
      </c>
      <c r="B112" s="49">
        <f>INDEX(ValuteAutoDownload!J:J,MATCH(A112,ValuteAutoDownload!H:H,0))*$B$2</f>
        <v>1.2059580673277498E-2</v>
      </c>
    </row>
    <row r="113" spans="1:2" x14ac:dyDescent="0.2">
      <c r="A113" s="46" t="s">
        <v>220</v>
      </c>
      <c r="B113" s="49">
        <f>INDEX(ValuteAutoDownload!J:J,MATCH(A113,ValuteAutoDownload!H:H,0))*$B$2</f>
        <v>5.8793073485300003E-4</v>
      </c>
    </row>
    <row r="114" spans="1:2" x14ac:dyDescent="0.2">
      <c r="A114" s="46" t="s">
        <v>221</v>
      </c>
      <c r="B114" s="49">
        <f>INDEX(ValuteAutoDownload!J:J,MATCH(A114,ValuteAutoDownload!H:H,0))*$B$2</f>
        <v>0.229165083578002</v>
      </c>
    </row>
    <row r="115" spans="1:2" x14ac:dyDescent="0.2">
      <c r="A115" s="46" t="s">
        <v>223</v>
      </c>
      <c r="B115" s="49">
        <f>INDEX(ValuteAutoDownload!J:J,MATCH(A115,ValuteAutoDownload!H:H,0))*$B$2</f>
        <v>0.1068151427287175</v>
      </c>
    </row>
    <row r="116" spans="1:2" x14ac:dyDescent="0.2">
      <c r="A116" s="46" t="s">
        <v>224</v>
      </c>
      <c r="B116" s="49">
        <f>INDEX(ValuteAutoDownload!J:J,MATCH(A116,ValuteAutoDownload!H:H,0))*$B$2</f>
        <v>5.8348018811681494E-2</v>
      </c>
    </row>
    <row r="117" spans="1:2" x14ac:dyDescent="0.2">
      <c r="A117" s="46" t="s">
        <v>225</v>
      </c>
      <c r="B117" s="49">
        <f>INDEX(ValuteAutoDownload!J:J,MATCH(A117,ValuteAutoDownload!H:H,0))*$B$2</f>
        <v>1.4329661377734998E-3</v>
      </c>
    </row>
    <row r="118" spans="1:2" x14ac:dyDescent="0.2">
      <c r="A118" s="46" t="s">
        <v>226</v>
      </c>
      <c r="B118" s="49">
        <f>INDEX(ValuteAutoDownload!J:J,MATCH(A118,ValuteAutoDownload!H:H,0))*$B$2</f>
        <v>9.2697245466782E-2</v>
      </c>
    </row>
    <row r="119" spans="1:2" x14ac:dyDescent="0.2">
      <c r="A119" s="46" t="s">
        <v>228</v>
      </c>
      <c r="B119" s="49">
        <f>INDEX(ValuteAutoDownload!J:J,MATCH(A119,ValuteAutoDownload!H:H,0))*$B$2</f>
        <v>0.67314284167782845</v>
      </c>
    </row>
    <row r="120" spans="1:2" x14ac:dyDescent="0.2">
      <c r="A120" s="46" t="s">
        <v>230</v>
      </c>
      <c r="B120" s="49">
        <f>INDEX(ValuteAutoDownload!J:J,MATCH(A120,ValuteAutoDownload!H:H,0))*$B$2</f>
        <v>1.5051222898084999E-3</v>
      </c>
    </row>
    <row r="121" spans="1:2" x14ac:dyDescent="0.2">
      <c r="A121" s="46" t="s">
        <v>231</v>
      </c>
      <c r="B121" s="49">
        <f>INDEX(ValuteAutoDownload!J:J,MATCH(A121,ValuteAutoDownload!H:H,0))*$B$2</f>
        <v>2.3206820336265501E-2</v>
      </c>
    </row>
    <row r="122" spans="1:2" x14ac:dyDescent="0.2">
      <c r="A122" s="46" t="s">
        <v>232</v>
      </c>
      <c r="B122" s="49">
        <f>INDEX(ValuteAutoDownload!J:J,MATCH(A122,ValuteAutoDownload!H:H,0))*$B$2</f>
        <v>1.82411440365E-4</v>
      </c>
    </row>
    <row r="123" spans="1:2" x14ac:dyDescent="0.2">
      <c r="A123" s="46" t="s">
        <v>233</v>
      </c>
      <c r="B123" s="49">
        <f>INDEX(ValuteAutoDownload!J:J,MATCH(A123,ValuteAutoDownload!H:H,0))*$B$2</f>
        <v>4.08705259508425E-2</v>
      </c>
    </row>
    <row r="124" spans="1:2" x14ac:dyDescent="0.2">
      <c r="A124" s="46" t="s">
        <v>234</v>
      </c>
      <c r="B124" s="49">
        <f>INDEX(ValuteAutoDownload!J:J,MATCH(A124,ValuteAutoDownload!H:H,0))*$B$2</f>
        <v>9.8288882835643507E-2</v>
      </c>
    </row>
    <row r="125" spans="1:2" x14ac:dyDescent="0.2">
      <c r="A125" s="46" t="s">
        <v>235</v>
      </c>
      <c r="B125" s="49">
        <f>INDEX(ValuteAutoDownload!J:J,MATCH(A125,ValuteAutoDownload!H:H,0))*$B$2</f>
        <v>7.4443132243479995E-3</v>
      </c>
    </row>
    <row r="126" spans="1:2" x14ac:dyDescent="0.2">
      <c r="A126" s="46" t="s">
        <v>236</v>
      </c>
      <c r="B126" s="49">
        <f>INDEX(ValuteAutoDownload!J:J,MATCH(A126,ValuteAutoDownload!H:H,0))*$B$2</f>
        <v>5.2667927804717497E-2</v>
      </c>
    </row>
    <row r="127" spans="1:2" x14ac:dyDescent="0.2">
      <c r="A127" s="46" t="s">
        <v>237</v>
      </c>
      <c r="B127" s="49">
        <f>INDEX(ValuteAutoDownload!J:J,MATCH(A127,ValuteAutoDownload!H:H,0))*$B$2</f>
        <v>2.6362073840729E-2</v>
      </c>
    </row>
    <row r="128" spans="1:2" x14ac:dyDescent="0.2">
      <c r="A128" s="46" t="s">
        <v>239</v>
      </c>
      <c r="B128" s="49">
        <f>INDEX(ValuteAutoDownload!J:J,MATCH(A128,ValuteAutoDownload!H:H,0))*$B$2</f>
        <v>9.2841050355718491E-2</v>
      </c>
    </row>
    <row r="129" spans="1:2" x14ac:dyDescent="0.2">
      <c r="A129" s="46" t="s">
        <v>240</v>
      </c>
      <c r="B129" s="49">
        <f>INDEX(ValuteAutoDownload!J:J,MATCH(A129,ValuteAutoDownload!H:H,0))*$B$2</f>
        <v>0.24571859928150699</v>
      </c>
    </row>
    <row r="130" spans="1:2" x14ac:dyDescent="0.2">
      <c r="A130" s="46" t="s">
        <v>241</v>
      </c>
      <c r="B130" s="49">
        <f>INDEX(ValuteAutoDownload!J:J,MATCH(A130,ValuteAutoDownload!H:H,0))*$B$2</f>
        <v>0.29687419778146895</v>
      </c>
    </row>
    <row r="131" spans="1:2" x14ac:dyDescent="0.2">
      <c r="A131" s="46" t="s">
        <v>243</v>
      </c>
      <c r="B131" s="49">
        <f>INDEX(ValuteAutoDownload!J:J,MATCH(A131,ValuteAutoDownload!H:H,0))*$B$2</f>
        <v>0.36714987793197446</v>
      </c>
    </row>
    <row r="132" spans="1:2" x14ac:dyDescent="0.2">
      <c r="A132" s="46" t="s">
        <v>244</v>
      </c>
      <c r="B132" s="49">
        <f>INDEX(ValuteAutoDownload!J:J,MATCH(A132,ValuteAutoDownload!H:H,0))*$B$2</f>
        <v>1.8809990802179499E-2</v>
      </c>
    </row>
    <row r="133" spans="1:2" x14ac:dyDescent="0.2">
      <c r="A133" s="46" t="s">
        <v>246</v>
      </c>
      <c r="B133" s="49">
        <f>INDEX(ValuteAutoDownload!J:J,MATCH(A133,ValuteAutoDownload!H:H,0))*$B$2</f>
        <v>0.12730308657532952</v>
      </c>
    </row>
    <row r="134" spans="1:2" x14ac:dyDescent="0.2">
      <c r="A134" s="46" t="s">
        <v>247</v>
      </c>
      <c r="B134" s="49">
        <f>INDEX(ValuteAutoDownload!J:J,MATCH(A134,ValuteAutoDownload!H:H,0))*$B$2</f>
        <v>2.7295846690216501E-2</v>
      </c>
    </row>
    <row r="135" spans="1:2" x14ac:dyDescent="0.2">
      <c r="A135" s="46" t="s">
        <v>249</v>
      </c>
      <c r="B135" s="49">
        <f>INDEX(ValuteAutoDownload!J:J,MATCH(A135,ValuteAutoDownload!H:H,0))*$B$2</f>
        <v>3.2813418650099997E-4</v>
      </c>
    </row>
    <row r="136" spans="1:2" x14ac:dyDescent="0.2">
      <c r="A136" s="46" t="s">
        <v>250</v>
      </c>
      <c r="B136" s="49">
        <f>INDEX(ValuteAutoDownload!J:J,MATCH(A136,ValuteAutoDownload!H:H,0))*$B$2</f>
        <v>1.9433019183808999E-2</v>
      </c>
    </row>
    <row r="137" spans="1:2" x14ac:dyDescent="0.2">
      <c r="A137" s="46" t="s">
        <v>252</v>
      </c>
      <c r="B137" s="49">
        <f>INDEX(ValuteAutoDownload!J:J,MATCH(A137,ValuteAutoDownload!H:H,0))*$B$2</f>
        <v>2.276917908375E-4</v>
      </c>
    </row>
    <row r="138" spans="1:2" x14ac:dyDescent="0.2">
      <c r="A138" s="46" t="s">
        <v>253</v>
      </c>
      <c r="B138" s="49">
        <f>INDEX(ValuteAutoDownload!J:J,MATCH(A138,ValuteAutoDownload!H:H,0))*$B$2</f>
        <v>2.1519174802757498E-2</v>
      </c>
    </row>
    <row r="139" spans="1:2" x14ac:dyDescent="0.2">
      <c r="A139" s="46" t="s">
        <v>255</v>
      </c>
      <c r="B139" s="49">
        <f>INDEX(ValuteAutoDownload!J:J,MATCH(A139,ValuteAutoDownload!H:H,0))*$B$2</f>
        <v>7.1545533823499992E-5</v>
      </c>
    </row>
    <row r="140" spans="1:2" x14ac:dyDescent="0.2">
      <c r="A140" s="46" t="s">
        <v>256</v>
      </c>
      <c r="B140" s="49">
        <f>INDEX(ValuteAutoDownload!J:J,MATCH(A140,ValuteAutoDownload!H:H,0))*$B$2</f>
        <v>1.624124038999E-3</v>
      </c>
    </row>
    <row r="141" spans="1:2" x14ac:dyDescent="0.2">
      <c r="A141" s="46" t="s">
        <v>258</v>
      </c>
      <c r="B141" s="49">
        <f>INDEX(ValuteAutoDownload!J:J,MATCH(A141,ValuteAutoDownload!H:H,0))*$B$2</f>
        <v>3.2646573673999999E-5</v>
      </c>
    </row>
    <row r="142" spans="1:2" x14ac:dyDescent="0.2">
      <c r="A142" s="46" t="s">
        <v>260</v>
      </c>
      <c r="B142" s="49">
        <f>INDEX(ValuteAutoDownload!J:J,MATCH(A142,ValuteAutoDownload!H:H,0))*$B$2</f>
        <v>7.3319766739449992E-3</v>
      </c>
    </row>
    <row r="143" spans="1:2" x14ac:dyDescent="0.2">
      <c r="A143" s="46" t="s">
        <v>261</v>
      </c>
      <c r="B143" s="49">
        <f>INDEX(ValuteAutoDownload!J:J,MATCH(A143,ValuteAutoDownload!H:H,0))*$B$2</f>
        <v>0.31873180987801453</v>
      </c>
    </row>
    <row r="144" spans="1:2" x14ac:dyDescent="0.2">
      <c r="A144" s="46" t="s">
        <v>262</v>
      </c>
      <c r="B144" s="49">
        <f>INDEX(ValuteAutoDownload!J:J,MATCH(A144,ValuteAutoDownload!H:H,0))*$B$2</f>
        <v>1.5265111277239999E-3</v>
      </c>
    </row>
    <row r="145" spans="1:2" x14ac:dyDescent="0.2">
      <c r="A145" s="46" t="s">
        <v>264</v>
      </c>
      <c r="B145" s="49">
        <f>INDEX(ValuteAutoDownload!J:J,MATCH(A145,ValuteAutoDownload!H:H,0))*$B$2</f>
        <v>0.31852903303025748</v>
      </c>
    </row>
    <row r="146" spans="1:2" x14ac:dyDescent="0.2">
      <c r="A146" s="46" t="s">
        <v>265</v>
      </c>
      <c r="B146" s="49">
        <f>INDEX(ValuteAutoDownload!J:J,MATCH(A146,ValuteAutoDownload!H:H,0))*$B$2</f>
        <v>1.5265111277239999E-3</v>
      </c>
    </row>
    <row r="147" spans="1:2" x14ac:dyDescent="0.2">
      <c r="A147" s="46" t="s">
        <v>267</v>
      </c>
      <c r="B147" s="49">
        <f>INDEX(ValuteAutoDownload!J:J,MATCH(A147,ValuteAutoDownload!H:H,0))*$B$2</f>
        <v>8.3911326629459992E-3</v>
      </c>
    </row>
    <row r="148" spans="1:2" x14ac:dyDescent="0.2">
      <c r="A148" s="46" t="s">
        <v>268</v>
      </c>
      <c r="B148" s="49">
        <f>INDEX(ValuteAutoDownload!J:J,MATCH(A148,ValuteAutoDownload!H:H,0))*$B$2</f>
        <v>3.604487902741E-3</v>
      </c>
    </row>
    <row r="149" spans="1:2" x14ac:dyDescent="0.2">
      <c r="A149" s="46" t="s">
        <v>269</v>
      </c>
      <c r="B149" s="49">
        <f>INDEX(ValuteAutoDownload!J:J,MATCH(A149,ValuteAutoDownload!H:H,0))*$B$2</f>
        <v>5.2709475643868998E-2</v>
      </c>
    </row>
    <row r="150" spans="1:2" x14ac:dyDescent="0.2">
      <c r="A150" s="46" t="s">
        <v>271</v>
      </c>
      <c r="B150" s="49">
        <f>INDEX(ValuteAutoDownload!J:J,MATCH(A150,ValuteAutoDownload!H:H,0))*$B$2</f>
        <v>4.5677260910231499E-2</v>
      </c>
    </row>
    <row r="151" spans="1:2" s="53" customFormat="1" x14ac:dyDescent="0.2">
      <c r="A151" s="53" t="s">
        <v>38</v>
      </c>
      <c r="B151" s="54">
        <f>INDEX(ValuteAutoDownload!D:D,MATCH(A151,ValuteAutoDownload!C:C,0))*$B$2</f>
        <v>0</v>
      </c>
    </row>
    <row r="152" spans="1:2" s="53" customFormat="1" x14ac:dyDescent="0.2">
      <c r="A152" s="53" t="s">
        <v>41</v>
      </c>
      <c r="B152" s="54">
        <f>INDEX(ValuteAutoDownload!D:D,MATCH(A152,ValuteAutoDownload!C:C,0))*$B$2</f>
        <v>7.9733887332048514</v>
      </c>
    </row>
    <row r="153" spans="1:2" s="53" customFormat="1" x14ac:dyDescent="0.2">
      <c r="A153" s="53" t="s">
        <v>43</v>
      </c>
      <c r="B153" s="54">
        <f>INDEX(ValuteAutoDownload!D:D,MATCH(A153,ValuteAutoDownload!C:C,0))*$B$2</f>
        <v>301.73156001562558</v>
      </c>
    </row>
    <row r="154" spans="1:2" s="53" customFormat="1" x14ac:dyDescent="0.2">
      <c r="A154" s="53" t="s">
        <v>45</v>
      </c>
      <c r="B154" s="54">
        <f>INDEX(ValuteAutoDownload!D:D,MATCH(A154,ValuteAutoDownload!C:C,0))*$B$2</f>
        <v>564.36651209771912</v>
      </c>
    </row>
    <row r="155" spans="1:2" s="53" customFormat="1" x14ac:dyDescent="0.2">
      <c r="A155" s="53" t="s">
        <v>47</v>
      </c>
      <c r="B155" s="54">
        <f>INDEX(ValuteAutoDownload!D:D,MATCH(A155,ValuteAutoDownload!C:C,0))*$B$2</f>
        <v>65860.314992235799</v>
      </c>
    </row>
    <row r="156" spans="1:2" s="53" customFormat="1" x14ac:dyDescent="0.2">
      <c r="A156" s="53" t="s">
        <v>49</v>
      </c>
      <c r="B156" s="54">
        <f>INDEX(ValuteAutoDownload!D:D,MATCH(A156,ValuteAutoDownload!C:C,0))*$B$2</f>
        <v>0.85993185445355858</v>
      </c>
    </row>
    <row r="157" spans="1:2" s="53" customFormat="1" x14ac:dyDescent="0.2">
      <c r="A157" s="53" t="s">
        <v>51</v>
      </c>
      <c r="B157" s="54">
        <f>INDEX(ValuteAutoDownload!D:D,MATCH(A157,ValuteAutoDownload!C:C,0))*$B$2</f>
        <v>1.2394835498703807</v>
      </c>
    </row>
    <row r="158" spans="1:2" s="53" customFormat="1" x14ac:dyDescent="0.2">
      <c r="A158" s="53" t="s">
        <v>54</v>
      </c>
      <c r="B158" s="54">
        <f>INDEX(ValuteAutoDownload!D:D,MATCH(A158,ValuteAutoDownload!C:C,0))*$B$2</f>
        <v>5.8789735809843306E-2</v>
      </c>
    </row>
    <row r="159" spans="1:2" s="53" customFormat="1" x14ac:dyDescent="0.2">
      <c r="A159" s="53" t="s">
        <v>57</v>
      </c>
      <c r="B159" s="54">
        <f>INDEX(ValuteAutoDownload!D:D,MATCH(A159,ValuteAutoDownload!C:C,0))*$B$2</f>
        <v>0.85968358830603886</v>
      </c>
    </row>
    <row r="160" spans="1:2" s="53" customFormat="1" x14ac:dyDescent="0.2">
      <c r="A160" s="53" t="s">
        <v>59</v>
      </c>
      <c r="B160" s="54">
        <f>INDEX(ValuteAutoDownload!D:D,MATCH(A160,ValuteAutoDownload!C:C,0))*$B$2</f>
        <v>8.6846879172468222E-2</v>
      </c>
    </row>
    <row r="161" spans="1:2" s="53" customFormat="1" x14ac:dyDescent="0.2">
      <c r="A161" s="53" t="s">
        <v>61</v>
      </c>
      <c r="B161" s="54">
        <f>INDEX(ValuteAutoDownload!D:D,MATCH(A161,ValuteAutoDownload!C:C,0))*$B$2</f>
        <v>1802.4928502333476</v>
      </c>
    </row>
    <row r="162" spans="1:2" s="53" customFormat="1" x14ac:dyDescent="0.2">
      <c r="A162" s="53" t="s">
        <v>63</v>
      </c>
      <c r="B162" s="54">
        <f>INDEX(ValuteAutoDownload!D:D,MATCH(A162,ValuteAutoDownload!C:C,0))*$B$2</f>
        <v>0.23273669268205754</v>
      </c>
    </row>
    <row r="163" spans="1:2" s="53" customFormat="1" x14ac:dyDescent="0.2">
      <c r="A163" s="53" t="s">
        <v>65</v>
      </c>
      <c r="B163" s="54">
        <f>INDEX(ValuteAutoDownload!D:D,MATCH(A163,ValuteAutoDownload!C:C,0))*$B$2</f>
        <v>1.0377162071345265</v>
      </c>
    </row>
    <row r="164" spans="1:2" s="53" customFormat="1" x14ac:dyDescent="0.2">
      <c r="A164" s="53" t="s">
        <v>68</v>
      </c>
      <c r="B164" s="54">
        <f>INDEX(ValuteAutoDownload!D:D,MATCH(A164,ValuteAutoDownload!C:C,0))*$B$2</f>
        <v>5.2791358014660693E-2</v>
      </c>
    </row>
    <row r="165" spans="1:2" s="53" customFormat="1" x14ac:dyDescent="0.2">
      <c r="A165" s="53" t="s">
        <v>70</v>
      </c>
      <c r="B165" s="54">
        <f>INDEX(ValuteAutoDownload!D:D,MATCH(A165,ValuteAutoDownload!C:C,0))*$B$2</f>
        <v>0</v>
      </c>
    </row>
    <row r="166" spans="1:2" s="53" customFormat="1" x14ac:dyDescent="0.2">
      <c r="A166" s="53" t="s">
        <v>72</v>
      </c>
      <c r="B166" s="54">
        <f>INDEX(ValuteAutoDownload!D:D,MATCH(A166,ValuteAutoDownload!C:C,0))*$B$2</f>
        <v>6.9421196786051509E-5</v>
      </c>
    </row>
    <row r="167" spans="1:2" s="53" customFormat="1" x14ac:dyDescent="0.2">
      <c r="A167" s="53" t="s">
        <v>74</v>
      </c>
      <c r="B167" s="54">
        <f>INDEX(ValuteAutoDownload!D:D,MATCH(A167,ValuteAutoDownload!C:C,0))*$B$2</f>
        <v>0</v>
      </c>
    </row>
    <row r="168" spans="1:2" s="53" customFormat="1" x14ac:dyDescent="0.2">
      <c r="A168" s="53" t="s">
        <v>76</v>
      </c>
      <c r="B168" s="54">
        <f>INDEX(ValuteAutoDownload!D:D,MATCH(A168,ValuteAutoDownload!C:C,0))*$B$2</f>
        <v>0.73137642080035425</v>
      </c>
    </row>
    <row r="169" spans="1:2" s="53" customFormat="1" x14ac:dyDescent="0.2">
      <c r="A169" s="53" t="s">
        <v>79</v>
      </c>
      <c r="B169" s="54">
        <f>INDEX(ValuteAutoDownload!D:D,MATCH(A169,ValuteAutoDownload!C:C,0))*$B$2</f>
        <v>5.1219458739234572E-2</v>
      </c>
    </row>
    <row r="170" spans="1:2" s="53" customFormat="1" x14ac:dyDescent="0.2">
      <c r="A170" s="53" t="s">
        <v>82</v>
      </c>
      <c r="B170" s="54">
        <f>INDEX(ValuteAutoDownload!D:D,MATCH(A170,ValuteAutoDownload!C:C,0))*$B$2</f>
        <v>0</v>
      </c>
    </row>
    <row r="171" spans="1:2" s="53" customFormat="1" x14ac:dyDescent="0.2">
      <c r="A171" s="53" t="s">
        <v>84</v>
      </c>
      <c r="B171" s="54">
        <f>INDEX(ValuteAutoDownload!D:D,MATCH(A171,ValuteAutoDownload!C:C,0))*$B$2</f>
        <v>4.766772253873262E-6</v>
      </c>
    </row>
    <row r="172" spans="1:2" s="53" customFormat="1" x14ac:dyDescent="0.2">
      <c r="A172" s="53" t="s">
        <v>86</v>
      </c>
      <c r="B172" s="54">
        <f>INDEX(ValuteAutoDownload!D:D,MATCH(A172,ValuteAutoDownload!C:C,0))*$B$2</f>
        <v>0.14159794491572694</v>
      </c>
    </row>
    <row r="173" spans="1:2" s="53" customFormat="1" x14ac:dyDescent="0.2">
      <c r="A173" s="53" t="s">
        <v>89</v>
      </c>
      <c r="B173" s="54">
        <f>INDEX(ValuteAutoDownload!D:D,MATCH(A173,ValuteAutoDownload!C:C,0))*$B$2</f>
        <v>72.541232934034539</v>
      </c>
    </row>
    <row r="174" spans="1:2" s="53" customFormat="1" x14ac:dyDescent="0.2">
      <c r="A174" s="53" t="s">
        <v>91</v>
      </c>
      <c r="B174" s="54">
        <f>INDEX(ValuteAutoDownload!D:D,MATCH(A174,ValuteAutoDownload!C:C,0))*$B$2</f>
        <v>0.85973434851769248</v>
      </c>
    </row>
    <row r="175" spans="1:2" s="53" customFormat="1" x14ac:dyDescent="0.2">
      <c r="A175" s="53" t="s">
        <v>94</v>
      </c>
      <c r="B175" s="54">
        <f>INDEX(ValuteAutoDownload!D:D,MATCH(A175,ValuteAutoDownload!C:C,0))*$B$2</f>
        <v>0.8589964505816724</v>
      </c>
    </row>
    <row r="176" spans="1:2" s="53" customFormat="1" x14ac:dyDescent="0.2">
      <c r="A176" s="53" t="s">
        <v>96</v>
      </c>
      <c r="B176" s="54">
        <f>INDEX(ValuteAutoDownload!D:D,MATCH(A176,ValuteAutoDownload!C:C,0))*$B$2</f>
        <v>0</v>
      </c>
    </row>
    <row r="177" spans="1:2" s="53" customFormat="1" x14ac:dyDescent="0.2">
      <c r="A177" s="53" t="s">
        <v>99</v>
      </c>
      <c r="B177" s="54">
        <f>INDEX(ValuteAutoDownload!D:D,MATCH(A177,ValuteAutoDownload!C:C,0))*$B$2</f>
        <v>327.09775894536335</v>
      </c>
    </row>
    <row r="178" spans="1:2" s="53" customFormat="1" x14ac:dyDescent="0.2">
      <c r="A178" s="53" t="s">
        <v>102</v>
      </c>
      <c r="B178" s="54">
        <f>INDEX(ValuteAutoDownload!D:D,MATCH(A178,ValuteAutoDownload!C:C,0))*$B$2</f>
        <v>8.3366501333041298E-4</v>
      </c>
    </row>
    <row r="179" spans="1:2" s="53" customFormat="1" x14ac:dyDescent="0.2">
      <c r="A179" s="53" t="s">
        <v>105</v>
      </c>
      <c r="B179" s="54">
        <f>INDEX(ValuteAutoDownload!D:D,MATCH(A179,ValuteAutoDownload!C:C,0))*$B$2</f>
        <v>1.1526582371986804</v>
      </c>
    </row>
    <row r="180" spans="1:2" s="53" customFormat="1" x14ac:dyDescent="0.2">
      <c r="A180" s="53" t="s">
        <v>108</v>
      </c>
      <c r="B180" s="54">
        <f>INDEX(ValuteAutoDownload!D:D,MATCH(A180,ValuteAutoDownload!C:C,0))*$B$2</f>
        <v>0.284836619966918</v>
      </c>
    </row>
  </sheetData>
  <pageMargins left="0.75" right="0.75" top="1" bottom="1" header="0.5" footer="0.5"/>
  <pageSetup paperSize="9" orientation="portrait" horizontalDpi="4294967293"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3F87-1F11-4F7E-B95A-9262EC686F60}">
  <sheetPr codeName="Sheet17"/>
  <dimension ref="B1:K146"/>
  <sheetViews>
    <sheetView workbookViewId="0">
      <selection activeCell="K25" sqref="K25"/>
    </sheetView>
  </sheetViews>
  <sheetFormatPr defaultColWidth="9.140625" defaultRowHeight="12.75" x14ac:dyDescent="0.2"/>
  <cols>
    <col min="1" max="1" width="8.140625" style="46" customWidth="1"/>
    <col min="2" max="2" width="8.5703125" style="46" bestFit="1" customWidth="1"/>
    <col min="3" max="3" width="15.7109375" style="46" bestFit="1" customWidth="1"/>
    <col min="4" max="4" width="24.28515625" style="46" bestFit="1" customWidth="1"/>
    <col min="5" max="5" width="16.5703125" style="46" bestFit="1" customWidth="1"/>
    <col min="6" max="6" width="9.140625" style="46"/>
    <col min="7" max="7" width="15.85546875" style="46" bestFit="1" customWidth="1"/>
    <col min="8" max="8" width="16.85546875" style="46" bestFit="1" customWidth="1"/>
    <col min="9" max="9" width="35.85546875" style="46" bestFit="1" customWidth="1"/>
    <col min="10" max="10" width="14" style="46" bestFit="1" customWidth="1"/>
    <col min="11" max="11" width="16.5703125" style="46" bestFit="1" customWidth="1"/>
    <col min="12" max="16384" width="9.140625" style="46"/>
  </cols>
  <sheetData>
    <row r="1" spans="2:11" x14ac:dyDescent="0.2">
      <c r="B1" s="46" t="s">
        <v>30</v>
      </c>
      <c r="C1" s="46" t="s">
        <v>31</v>
      </c>
      <c r="D1" s="46" t="s">
        <v>32</v>
      </c>
      <c r="G1" s="46" t="s">
        <v>33</v>
      </c>
      <c r="H1" s="46" t="s">
        <v>34</v>
      </c>
      <c r="I1" s="46" t="s">
        <v>35</v>
      </c>
      <c r="J1" s="46" t="s">
        <v>36</v>
      </c>
      <c r="K1" s="46" t="s">
        <v>37</v>
      </c>
    </row>
    <row r="2" spans="2:11" x14ac:dyDescent="0.2">
      <c r="B2" s="46" t="s">
        <v>74</v>
      </c>
      <c r="C2" s="46" t="s">
        <v>74</v>
      </c>
      <c r="G2" s="46" t="s">
        <v>28</v>
      </c>
      <c r="H2" s="46" t="s">
        <v>39</v>
      </c>
      <c r="I2" s="46" t="s">
        <v>40</v>
      </c>
      <c r="J2" s="46">
        <v>0.27225746000000001</v>
      </c>
      <c r="K2" s="46">
        <v>3.6729939599999999</v>
      </c>
    </row>
    <row r="3" spans="2:11" x14ac:dyDescent="0.2">
      <c r="B3" s="46" t="s">
        <v>54</v>
      </c>
      <c r="C3" s="46" t="s">
        <v>54</v>
      </c>
      <c r="D3" s="46">
        <v>6.8358119097777267E-2</v>
      </c>
      <c r="G3" s="46" t="s">
        <v>28</v>
      </c>
      <c r="H3" s="46" t="s">
        <v>42</v>
      </c>
      <c r="I3" s="46" t="s">
        <v>434</v>
      </c>
      <c r="J3" s="46">
        <v>1.5647009999999999E-2</v>
      </c>
      <c r="K3" s="46">
        <v>63.909988830000003</v>
      </c>
    </row>
    <row r="4" spans="2:11" x14ac:dyDescent="0.2">
      <c r="B4" s="46" t="s">
        <v>102</v>
      </c>
      <c r="C4" s="46" t="s">
        <v>102</v>
      </c>
      <c r="D4" s="46">
        <v>9.6934901107939401E-4</v>
      </c>
      <c r="G4" s="46" t="s">
        <v>28</v>
      </c>
      <c r="H4" s="46" t="s">
        <v>44</v>
      </c>
      <c r="I4" s="46" t="s">
        <v>435</v>
      </c>
      <c r="J4" s="46">
        <v>1.2182689999999999E-2</v>
      </c>
      <c r="K4" s="46">
        <v>82.083655419999999</v>
      </c>
    </row>
    <row r="5" spans="2:11" x14ac:dyDescent="0.2">
      <c r="B5" s="46" t="s">
        <v>84</v>
      </c>
      <c r="C5" s="46" t="s">
        <v>84</v>
      </c>
      <c r="D5" s="46">
        <v>5.542593123674E-6</v>
      </c>
      <c r="G5" s="46" t="s">
        <v>28</v>
      </c>
      <c r="H5" s="46" t="s">
        <v>46</v>
      </c>
      <c r="I5" s="46" t="s">
        <v>436</v>
      </c>
      <c r="J5" s="46">
        <v>2.7189900000000001E-3</v>
      </c>
      <c r="K5" s="46">
        <v>367.78321738</v>
      </c>
    </row>
    <row r="6" spans="2:11" x14ac:dyDescent="0.2">
      <c r="B6" s="46" t="s">
        <v>94</v>
      </c>
      <c r="C6" s="46" t="s">
        <v>94</v>
      </c>
      <c r="D6" s="46">
        <v>0.99880329218282315</v>
      </c>
      <c r="G6" s="46" t="s">
        <v>28</v>
      </c>
      <c r="H6" s="46" t="s">
        <v>50</v>
      </c>
      <c r="I6" s="46" t="s">
        <v>437</v>
      </c>
      <c r="J6" s="46">
        <v>1.0890800000000001E-3</v>
      </c>
      <c r="K6" s="46">
        <v>918.20922442999995</v>
      </c>
    </row>
    <row r="7" spans="2:11" x14ac:dyDescent="0.2">
      <c r="B7" s="46" t="s">
        <v>59</v>
      </c>
      <c r="C7" s="46" t="s">
        <v>59</v>
      </c>
      <c r="D7" s="46">
        <v>0.1009817313849514</v>
      </c>
      <c r="G7" s="46" t="s">
        <v>28</v>
      </c>
      <c r="H7" s="46" t="s">
        <v>52</v>
      </c>
      <c r="I7" s="46" t="s">
        <v>53</v>
      </c>
      <c r="J7" s="46">
        <v>7.1599000000000001E-4</v>
      </c>
      <c r="K7" s="46">
        <v>1396.6689712</v>
      </c>
    </row>
    <row r="8" spans="2:11" x14ac:dyDescent="0.2">
      <c r="B8" s="46" t="s">
        <v>70</v>
      </c>
      <c r="C8" s="46" t="s">
        <v>70</v>
      </c>
      <c r="G8" s="46" t="s">
        <v>28</v>
      </c>
      <c r="H8" s="46" t="s">
        <v>55</v>
      </c>
      <c r="I8" s="46" t="s">
        <v>56</v>
      </c>
      <c r="J8" s="46">
        <v>0.71605198999999997</v>
      </c>
      <c r="K8" s="46">
        <v>1.39654664</v>
      </c>
    </row>
    <row r="9" spans="2:11" x14ac:dyDescent="0.2">
      <c r="B9" s="46" t="s">
        <v>76</v>
      </c>
      <c r="C9" s="46" t="s">
        <v>76</v>
      </c>
      <c r="D9" s="46">
        <v>0.850412334562759</v>
      </c>
      <c r="G9" s="46" t="s">
        <v>28</v>
      </c>
      <c r="H9" s="46" t="s">
        <v>58</v>
      </c>
      <c r="I9" s="46" t="s">
        <v>438</v>
      </c>
      <c r="J9" s="46">
        <v>0.55865841000000005</v>
      </c>
      <c r="K9" s="46">
        <v>1.7900025799999999</v>
      </c>
    </row>
    <row r="10" spans="2:11" x14ac:dyDescent="0.2">
      <c r="B10" s="46" t="s">
        <v>38</v>
      </c>
      <c r="C10" s="46" t="s">
        <v>38</v>
      </c>
      <c r="G10" s="46" t="s">
        <v>28</v>
      </c>
      <c r="H10" s="46" t="s">
        <v>60</v>
      </c>
      <c r="I10" s="46" t="s">
        <v>439</v>
      </c>
      <c r="J10" s="46">
        <v>0.58826942999999998</v>
      </c>
      <c r="K10" s="46">
        <v>1.6999013599999999</v>
      </c>
    </row>
    <row r="11" spans="2:11" x14ac:dyDescent="0.2">
      <c r="B11" s="46" t="s">
        <v>65</v>
      </c>
      <c r="C11" s="46" t="s">
        <v>65</v>
      </c>
      <c r="D11" s="46">
        <v>1.2066107646144351</v>
      </c>
      <c r="G11" s="46" t="s">
        <v>28</v>
      </c>
      <c r="H11" s="46" t="s">
        <v>62</v>
      </c>
      <c r="I11" s="46" t="s">
        <v>440</v>
      </c>
      <c r="J11" s="46">
        <v>0.59529714</v>
      </c>
      <c r="K11" s="46">
        <v>1.67983338</v>
      </c>
    </row>
    <row r="12" spans="2:11" x14ac:dyDescent="0.2">
      <c r="B12" s="46" t="s">
        <v>82</v>
      </c>
      <c r="C12" s="46" t="s">
        <v>82</v>
      </c>
      <c r="G12" s="46" t="s">
        <v>28</v>
      </c>
      <c r="H12" s="46" t="s">
        <v>64</v>
      </c>
      <c r="I12" s="46" t="s">
        <v>441</v>
      </c>
      <c r="J12" s="46">
        <v>0.5</v>
      </c>
      <c r="K12" s="46">
        <v>2</v>
      </c>
    </row>
    <row r="13" spans="2:11" x14ac:dyDescent="0.2">
      <c r="B13" s="46" t="s">
        <v>105</v>
      </c>
      <c r="C13" s="46" t="s">
        <v>105</v>
      </c>
      <c r="D13" s="46">
        <v>1.3402603017696977</v>
      </c>
      <c r="G13" s="46" t="s">
        <v>28</v>
      </c>
      <c r="H13" s="46" t="s">
        <v>66</v>
      </c>
      <c r="I13" s="46" t="s">
        <v>67</v>
      </c>
      <c r="J13" s="46">
        <v>8.1470599999999994E-3</v>
      </c>
      <c r="K13" s="46">
        <v>122.74365666999999</v>
      </c>
    </row>
    <row r="14" spans="2:11" x14ac:dyDescent="0.2">
      <c r="B14" s="46" t="s">
        <v>72</v>
      </c>
      <c r="C14" s="46" t="s">
        <v>72</v>
      </c>
      <c r="D14" s="46">
        <v>8.0719914325870994E-5</v>
      </c>
      <c r="G14" s="46" t="s">
        <v>28</v>
      </c>
      <c r="H14" s="46" t="s">
        <v>71</v>
      </c>
      <c r="I14" s="46" t="s">
        <v>442</v>
      </c>
      <c r="J14" s="46">
        <v>2.6582191800000001</v>
      </c>
      <c r="K14" s="46">
        <v>0.37619170000000002</v>
      </c>
    </row>
    <row r="15" spans="2:11" x14ac:dyDescent="0.2">
      <c r="B15" s="46" t="s">
        <v>63</v>
      </c>
      <c r="C15" s="46" t="s">
        <v>63</v>
      </c>
      <c r="D15" s="46">
        <v>0.27061598997897046</v>
      </c>
      <c r="G15" s="46" t="s">
        <v>28</v>
      </c>
      <c r="H15" s="46" t="s">
        <v>73</v>
      </c>
      <c r="I15" s="46" t="s">
        <v>443</v>
      </c>
      <c r="J15" s="46">
        <v>3.3438000000000001E-4</v>
      </c>
      <c r="K15" s="46">
        <v>2990.57974749</v>
      </c>
    </row>
    <row r="16" spans="2:11" x14ac:dyDescent="0.2">
      <c r="B16" s="46" t="s">
        <v>68</v>
      </c>
      <c r="C16" s="46" t="s">
        <v>68</v>
      </c>
      <c r="D16" s="46">
        <v>6.1383469219389787E-2</v>
      </c>
      <c r="G16" s="46" t="s">
        <v>28</v>
      </c>
      <c r="H16" s="46" t="s">
        <v>75</v>
      </c>
      <c r="I16" s="46" t="s">
        <v>444</v>
      </c>
      <c r="J16" s="46">
        <v>0.78282794</v>
      </c>
      <c r="K16" s="46">
        <v>1.2774199100000001</v>
      </c>
    </row>
    <row r="17" spans="2:11" x14ac:dyDescent="0.2">
      <c r="B17" s="46" t="s">
        <v>108</v>
      </c>
      <c r="C17" s="46" t="s">
        <v>108</v>
      </c>
      <c r="D17" s="46">
        <v>0.33119549395639303</v>
      </c>
      <c r="G17" s="46" t="s">
        <v>28</v>
      </c>
      <c r="H17" s="46" t="s">
        <v>77</v>
      </c>
      <c r="I17" s="46" t="s">
        <v>78</v>
      </c>
      <c r="J17" s="46">
        <v>0.14472840000000001</v>
      </c>
      <c r="K17" s="46">
        <v>6.9094939000000002</v>
      </c>
    </row>
    <row r="18" spans="2:11" x14ac:dyDescent="0.2">
      <c r="B18" s="46" t="s">
        <v>43</v>
      </c>
      <c r="C18" s="46" t="s">
        <v>43</v>
      </c>
      <c r="D18" s="46">
        <v>350.8401871684008</v>
      </c>
      <c r="G18" s="46" t="s">
        <v>28</v>
      </c>
      <c r="H18" s="46" t="s">
        <v>80</v>
      </c>
      <c r="I18" s="46" t="s">
        <v>81</v>
      </c>
      <c r="J18" s="46">
        <v>0.19971179999999999</v>
      </c>
      <c r="K18" s="46">
        <v>5.0072152900000004</v>
      </c>
    </row>
    <row r="19" spans="2:11" x14ac:dyDescent="0.2">
      <c r="B19" s="46" t="s">
        <v>51</v>
      </c>
      <c r="C19" s="46" t="s">
        <v>51</v>
      </c>
      <c r="D19" s="46">
        <v>1.4412169565760984</v>
      </c>
      <c r="G19" s="46" t="s">
        <v>28</v>
      </c>
      <c r="H19" s="46" t="s">
        <v>83</v>
      </c>
      <c r="I19" s="46" t="s">
        <v>445</v>
      </c>
      <c r="J19" s="46">
        <v>1</v>
      </c>
      <c r="K19" s="46">
        <v>1</v>
      </c>
    </row>
    <row r="20" spans="2:11" x14ac:dyDescent="0.2">
      <c r="B20" s="46" t="s">
        <v>79</v>
      </c>
      <c r="C20" s="46" t="s">
        <v>79</v>
      </c>
      <c r="D20" s="46">
        <v>5.955573387751234E-2</v>
      </c>
      <c r="G20" s="46" t="s">
        <v>28</v>
      </c>
      <c r="H20" s="46" t="s">
        <v>85</v>
      </c>
      <c r="I20" s="46" t="s">
        <v>446</v>
      </c>
      <c r="J20" s="46">
        <v>7.2500049999999996E-2</v>
      </c>
      <c r="K20" s="46">
        <v>13.79309456</v>
      </c>
    </row>
    <row r="21" spans="2:11" x14ac:dyDescent="0.2">
      <c r="B21" s="46" t="s">
        <v>86</v>
      </c>
      <c r="C21" s="46" t="s">
        <v>86</v>
      </c>
      <c r="D21" s="46">
        <v>0.16464386255889804</v>
      </c>
      <c r="G21" s="46" t="s">
        <v>28</v>
      </c>
      <c r="H21" s="46" t="s">
        <v>87</v>
      </c>
      <c r="I21" s="46" t="s">
        <v>88</v>
      </c>
      <c r="J21" s="46">
        <v>0.36310193000000002</v>
      </c>
      <c r="K21" s="46">
        <v>2.7540476200000001</v>
      </c>
    </row>
    <row r="22" spans="2:11" x14ac:dyDescent="0.2">
      <c r="B22" s="46" t="s">
        <v>57</v>
      </c>
      <c r="C22" s="46" t="s">
        <v>57</v>
      </c>
      <c r="D22" s="46">
        <v>0.99960226570688782</v>
      </c>
      <c r="G22" s="46" t="s">
        <v>28</v>
      </c>
      <c r="H22" s="46" t="s">
        <v>90</v>
      </c>
      <c r="I22" s="46" t="s">
        <v>447</v>
      </c>
      <c r="J22" s="46">
        <v>0.5</v>
      </c>
      <c r="K22" s="46">
        <v>2</v>
      </c>
    </row>
    <row r="23" spans="2:11" x14ac:dyDescent="0.2">
      <c r="B23" s="46" t="s">
        <v>47</v>
      </c>
      <c r="C23" s="46" t="s">
        <v>47</v>
      </c>
      <c r="D23" s="46">
        <v>76579.47759143672</v>
      </c>
      <c r="G23" s="46" t="s">
        <v>28</v>
      </c>
      <c r="H23" s="46" t="s">
        <v>92</v>
      </c>
      <c r="I23" s="46" t="s">
        <v>93</v>
      </c>
      <c r="J23" s="46">
        <v>0.72390604000000003</v>
      </c>
      <c r="K23" s="46">
        <v>1.38139474</v>
      </c>
    </row>
    <row r="24" spans="2:11" x14ac:dyDescent="0.2">
      <c r="B24" s="46" t="s">
        <v>89</v>
      </c>
      <c r="C24" s="46" t="s">
        <v>89</v>
      </c>
      <c r="D24" s="46">
        <v>84.347755132692313</v>
      </c>
      <c r="G24" s="46" t="s">
        <v>28</v>
      </c>
      <c r="H24" s="46" t="s">
        <v>95</v>
      </c>
      <c r="I24" s="46" t="s">
        <v>448</v>
      </c>
      <c r="J24" s="46">
        <v>4.4503000000000001E-4</v>
      </c>
      <c r="K24" s="46">
        <v>2247.0310916399999</v>
      </c>
    </row>
    <row r="25" spans="2:11" x14ac:dyDescent="0.2">
      <c r="B25" s="46" t="s">
        <v>41</v>
      </c>
      <c r="C25" s="46" t="s">
        <v>41</v>
      </c>
      <c r="D25" s="46">
        <v>9.2711057317939893</v>
      </c>
      <c r="G25" s="46" t="s">
        <v>28</v>
      </c>
      <c r="H25" s="46" t="s">
        <v>97</v>
      </c>
      <c r="I25" s="46" t="s">
        <v>98</v>
      </c>
      <c r="J25" s="46">
        <v>1.27568536</v>
      </c>
      <c r="K25" s="46">
        <v>0.78389235999999995</v>
      </c>
    </row>
    <row r="26" spans="2:11" x14ac:dyDescent="0.2">
      <c r="B26" s="46" t="s">
        <v>96</v>
      </c>
      <c r="C26" s="46" t="s">
        <v>96</v>
      </c>
      <c r="G26" s="46" t="s">
        <v>28</v>
      </c>
      <c r="H26" s="46" t="s">
        <v>100</v>
      </c>
      <c r="I26" s="46" t="s">
        <v>101</v>
      </c>
      <c r="J26" s="46">
        <v>1.11086E-3</v>
      </c>
      <c r="K26" s="46">
        <v>900.20007033000002</v>
      </c>
    </row>
    <row r="27" spans="2:11" x14ac:dyDescent="0.2">
      <c r="B27" s="46" t="s">
        <v>45</v>
      </c>
      <c r="C27" s="46" t="s">
        <v>45</v>
      </c>
      <c r="D27" s="46">
        <v>656.22055818651359</v>
      </c>
      <c r="G27" s="46" t="s">
        <v>28</v>
      </c>
      <c r="H27" s="46" t="s">
        <v>103</v>
      </c>
      <c r="I27" s="46" t="s">
        <v>104</v>
      </c>
      <c r="J27" s="46">
        <v>0.14733856000000001</v>
      </c>
      <c r="K27" s="46">
        <v>6.7870896600000004</v>
      </c>
    </row>
    <row r="28" spans="2:11" x14ac:dyDescent="0.2">
      <c r="B28" s="46" t="s">
        <v>61</v>
      </c>
      <c r="C28" s="46" t="s">
        <v>61</v>
      </c>
      <c r="D28" s="46">
        <v>2095.8594086505996</v>
      </c>
      <c r="G28" s="46" t="s">
        <v>28</v>
      </c>
      <c r="H28" s="46" t="s">
        <v>106</v>
      </c>
      <c r="I28" s="46" t="s">
        <v>107</v>
      </c>
      <c r="J28" s="46">
        <v>2.722E-4</v>
      </c>
      <c r="K28" s="46">
        <v>3673.7278625200001</v>
      </c>
    </row>
    <row r="29" spans="2:11" x14ac:dyDescent="0.2">
      <c r="B29" s="46" t="s">
        <v>91</v>
      </c>
      <c r="C29" s="46" t="s">
        <v>91</v>
      </c>
      <c r="D29" s="46">
        <v>0.99966128744845284</v>
      </c>
      <c r="G29" s="46" t="s">
        <v>28</v>
      </c>
      <c r="H29" s="46" t="s">
        <v>109</v>
      </c>
      <c r="I29" s="46" t="s">
        <v>110</v>
      </c>
      <c r="J29" s="46">
        <v>2.2034400000000001E-3</v>
      </c>
      <c r="K29" s="46">
        <v>453.83673723999999</v>
      </c>
    </row>
    <row r="30" spans="2:11" x14ac:dyDescent="0.2">
      <c r="B30" s="46" t="s">
        <v>49</v>
      </c>
      <c r="C30" s="46" t="s">
        <v>49</v>
      </c>
      <c r="D30" s="46">
        <v>0.99989093866393242</v>
      </c>
      <c r="G30" s="46" t="s">
        <v>28</v>
      </c>
      <c r="H30" s="46" t="s">
        <v>111</v>
      </c>
      <c r="I30" s="46" t="s">
        <v>449</v>
      </c>
      <c r="J30" s="46">
        <v>4.1666670000000003E-2</v>
      </c>
      <c r="K30" s="46">
        <v>24</v>
      </c>
    </row>
    <row r="31" spans="2:11" x14ac:dyDescent="0.2">
      <c r="B31" s="46" t="s">
        <v>99</v>
      </c>
      <c r="C31" s="46" t="s">
        <v>99</v>
      </c>
      <c r="D31" s="46">
        <v>380.33488762266961</v>
      </c>
      <c r="G31" s="46" t="s">
        <v>28</v>
      </c>
      <c r="H31" s="46" t="s">
        <v>112</v>
      </c>
      <c r="I31" s="46" t="s">
        <v>450</v>
      </c>
      <c r="J31" s="46">
        <v>1.055911E-2</v>
      </c>
      <c r="K31" s="46">
        <v>94.704972949999998</v>
      </c>
    </row>
    <row r="32" spans="2:11" x14ac:dyDescent="0.2">
      <c r="G32" s="46" t="s">
        <v>28</v>
      </c>
      <c r="H32" s="46" t="s">
        <v>113</v>
      </c>
      <c r="I32" s="46" t="s">
        <v>114</v>
      </c>
      <c r="J32" s="46">
        <v>4.7993170000000002E-2</v>
      </c>
      <c r="K32" s="46">
        <v>20.836299149999999</v>
      </c>
    </row>
    <row r="33" spans="7:11" x14ac:dyDescent="0.2">
      <c r="G33" s="46" t="s">
        <v>28</v>
      </c>
      <c r="H33" s="46" t="s">
        <v>115</v>
      </c>
      <c r="I33" s="46" t="s">
        <v>451</v>
      </c>
      <c r="J33" s="46">
        <v>5.6267899999999996E-3</v>
      </c>
      <c r="K33" s="46">
        <v>177.72137764999999</v>
      </c>
    </row>
    <row r="34" spans="7:11" x14ac:dyDescent="0.2">
      <c r="G34" s="46" t="s">
        <v>28</v>
      </c>
      <c r="H34" s="46" t="s">
        <v>116</v>
      </c>
      <c r="I34" s="46" t="s">
        <v>117</v>
      </c>
      <c r="J34" s="46">
        <v>0.15582222000000001</v>
      </c>
      <c r="K34" s="46">
        <v>6.4175700999999998</v>
      </c>
    </row>
    <row r="35" spans="7:11" x14ac:dyDescent="0.2">
      <c r="G35" s="46" t="s">
        <v>28</v>
      </c>
      <c r="H35" s="46" t="s">
        <v>118</v>
      </c>
      <c r="I35" s="46" t="s">
        <v>119</v>
      </c>
      <c r="J35" s="46">
        <v>1.688456E-2</v>
      </c>
      <c r="K35" s="46">
        <v>59.225695680000001</v>
      </c>
    </row>
    <row r="36" spans="7:11" x14ac:dyDescent="0.2">
      <c r="G36" s="46" t="s">
        <v>28</v>
      </c>
      <c r="H36" s="46" t="s">
        <v>120</v>
      </c>
      <c r="I36" s="46" t="s">
        <v>121</v>
      </c>
      <c r="J36" s="46">
        <v>7.5209099999999996E-3</v>
      </c>
      <c r="K36" s="46">
        <v>132.96260939999999</v>
      </c>
    </row>
    <row r="37" spans="7:11" x14ac:dyDescent="0.2">
      <c r="G37" s="46" t="s">
        <v>28</v>
      </c>
      <c r="H37" s="46" t="s">
        <v>122</v>
      </c>
      <c r="I37" s="46" t="s">
        <v>123</v>
      </c>
      <c r="J37" s="46">
        <v>1.9035489999999999E-2</v>
      </c>
      <c r="K37" s="46">
        <v>52.533438920000002</v>
      </c>
    </row>
    <row r="38" spans="7:11" x14ac:dyDescent="0.2">
      <c r="G38" s="46" t="s">
        <v>28</v>
      </c>
      <c r="H38" s="46" t="s">
        <v>124</v>
      </c>
      <c r="I38" s="46" t="s">
        <v>452</v>
      </c>
      <c r="J38" s="46">
        <v>6.5019629999999995E-2</v>
      </c>
      <c r="K38" s="46">
        <v>15.379970800000001</v>
      </c>
    </row>
    <row r="39" spans="7:11" x14ac:dyDescent="0.2">
      <c r="G39" s="46" t="s">
        <v>28</v>
      </c>
      <c r="H39" s="46" t="s">
        <v>125</v>
      </c>
      <c r="I39" s="46" t="s">
        <v>453</v>
      </c>
      <c r="J39" s="46">
        <v>6.3164099999999997E-3</v>
      </c>
      <c r="K39" s="46">
        <v>158.31778750999999</v>
      </c>
    </row>
    <row r="40" spans="7:11" x14ac:dyDescent="0.2">
      <c r="G40" s="46" t="s">
        <v>28</v>
      </c>
      <c r="H40" s="46" t="s">
        <v>10</v>
      </c>
      <c r="I40" s="46" t="s">
        <v>126</v>
      </c>
      <c r="J40" s="46">
        <v>1.16275602</v>
      </c>
      <c r="K40" s="46">
        <v>0.86002564999999997</v>
      </c>
    </row>
    <row r="41" spans="7:11" x14ac:dyDescent="0.2">
      <c r="G41" s="46" t="s">
        <v>28</v>
      </c>
      <c r="H41" s="46" t="s">
        <v>127</v>
      </c>
      <c r="I41" s="46" t="s">
        <v>454</v>
      </c>
      <c r="J41" s="46">
        <v>0.45040618999999998</v>
      </c>
      <c r="K41" s="46">
        <v>2.2202181599999999</v>
      </c>
    </row>
    <row r="42" spans="7:11" x14ac:dyDescent="0.2">
      <c r="G42" s="46" t="s">
        <v>28</v>
      </c>
      <c r="H42" s="46" t="s">
        <v>128</v>
      </c>
      <c r="I42" s="46" t="s">
        <v>129</v>
      </c>
      <c r="J42" s="46">
        <v>1.3474533799999999</v>
      </c>
      <c r="K42" s="46">
        <v>0.74214069999999999</v>
      </c>
    </row>
    <row r="43" spans="7:11" x14ac:dyDescent="0.2">
      <c r="G43" s="46" t="s">
        <v>28</v>
      </c>
      <c r="H43" s="46" t="s">
        <v>130</v>
      </c>
      <c r="I43" s="46" t="s">
        <v>455</v>
      </c>
      <c r="J43" s="46">
        <v>0.37458263000000003</v>
      </c>
      <c r="K43" s="46">
        <v>2.66963792</v>
      </c>
    </row>
    <row r="44" spans="7:11" x14ac:dyDescent="0.2">
      <c r="G44" s="46" t="s">
        <v>28</v>
      </c>
      <c r="H44" s="46" t="s">
        <v>131</v>
      </c>
      <c r="I44" s="46" t="s">
        <v>456</v>
      </c>
      <c r="J44" s="46">
        <v>8.6104760000000002E-2</v>
      </c>
      <c r="K44" s="46">
        <v>11.61375934</v>
      </c>
    </row>
    <row r="45" spans="7:11" x14ac:dyDescent="0.2">
      <c r="G45" s="46" t="s">
        <v>28</v>
      </c>
      <c r="H45" s="46" t="s">
        <v>132</v>
      </c>
      <c r="I45" s="46" t="s">
        <v>457</v>
      </c>
      <c r="J45" s="46">
        <v>1.3498347900000001</v>
      </c>
      <c r="K45" s="46">
        <v>0.74083140000000003</v>
      </c>
    </row>
    <row r="46" spans="7:11" x14ac:dyDescent="0.2">
      <c r="G46" s="46" t="s">
        <v>28</v>
      </c>
      <c r="H46" s="46" t="s">
        <v>133</v>
      </c>
      <c r="I46" s="46" t="s">
        <v>458</v>
      </c>
      <c r="J46" s="46">
        <v>1.3814669999999999E-2</v>
      </c>
      <c r="K46" s="46">
        <v>72.386841880000006</v>
      </c>
    </row>
    <row r="47" spans="7:11" x14ac:dyDescent="0.2">
      <c r="G47" s="46" t="s">
        <v>28</v>
      </c>
      <c r="H47" s="46" t="s">
        <v>134</v>
      </c>
      <c r="I47" s="46" t="s">
        <v>459</v>
      </c>
      <c r="J47" s="46">
        <v>1.1455000000000001E-4</v>
      </c>
      <c r="K47" s="46">
        <v>8729.6163359999991</v>
      </c>
    </row>
    <row r="48" spans="7:11" x14ac:dyDescent="0.2">
      <c r="G48" s="46" t="s">
        <v>28</v>
      </c>
      <c r="H48" s="46" t="s">
        <v>135</v>
      </c>
      <c r="I48" s="46" t="s">
        <v>460</v>
      </c>
      <c r="J48" s="46">
        <v>0.13117986000000001</v>
      </c>
      <c r="K48" s="46">
        <v>7.62312119</v>
      </c>
    </row>
    <row r="49" spans="7:11" x14ac:dyDescent="0.2">
      <c r="G49" s="46" t="s">
        <v>28</v>
      </c>
      <c r="H49" s="46" t="s">
        <v>136</v>
      </c>
      <c r="I49" s="46" t="s">
        <v>461</v>
      </c>
      <c r="J49" s="46">
        <v>4.7796599999999998E-3</v>
      </c>
      <c r="K49" s="46">
        <v>209.21996049000001</v>
      </c>
    </row>
    <row r="50" spans="7:11" x14ac:dyDescent="0.2">
      <c r="G50" s="46" t="s">
        <v>28</v>
      </c>
      <c r="H50" s="46" t="s">
        <v>137</v>
      </c>
      <c r="I50" s="46" t="s">
        <v>138</v>
      </c>
      <c r="J50" s="46">
        <v>0.12762724</v>
      </c>
      <c r="K50" s="46">
        <v>7.8353177699999996</v>
      </c>
    </row>
    <row r="51" spans="7:11" x14ac:dyDescent="0.2">
      <c r="G51" s="46" t="s">
        <v>28</v>
      </c>
      <c r="H51" s="46" t="s">
        <v>139</v>
      </c>
      <c r="I51" s="46" t="s">
        <v>462</v>
      </c>
      <c r="J51" s="46">
        <v>3.756085E-2</v>
      </c>
      <c r="K51" s="46">
        <v>26.623464739999999</v>
      </c>
    </row>
    <row r="52" spans="7:11" x14ac:dyDescent="0.2">
      <c r="G52" s="46" t="s">
        <v>28</v>
      </c>
      <c r="H52" s="46" t="s">
        <v>141</v>
      </c>
      <c r="I52" s="46" t="s">
        <v>142</v>
      </c>
      <c r="J52" s="46">
        <v>7.6608199999999996E-3</v>
      </c>
      <c r="K52" s="46">
        <v>130.53429688</v>
      </c>
    </row>
    <row r="53" spans="7:11" x14ac:dyDescent="0.2">
      <c r="G53" s="46" t="s">
        <v>28</v>
      </c>
      <c r="H53" s="46" t="s">
        <v>143</v>
      </c>
      <c r="I53" s="46" t="s">
        <v>144</v>
      </c>
      <c r="J53" s="46">
        <v>3.2666599999999998E-3</v>
      </c>
      <c r="K53" s="46">
        <v>306.12324166000002</v>
      </c>
    </row>
    <row r="54" spans="7:11" x14ac:dyDescent="0.2">
      <c r="G54" s="46" t="s">
        <v>28</v>
      </c>
      <c r="H54" s="46" t="s">
        <v>145</v>
      </c>
      <c r="I54" s="46" t="s">
        <v>146</v>
      </c>
      <c r="J54" s="46">
        <v>5.6209999999999999E-5</v>
      </c>
      <c r="K54" s="46">
        <v>17791.779739770001</v>
      </c>
    </row>
    <row r="55" spans="7:11" x14ac:dyDescent="0.2">
      <c r="G55" s="46" t="s">
        <v>28</v>
      </c>
      <c r="H55" s="46" t="s">
        <v>147</v>
      </c>
      <c r="I55" s="46" t="s">
        <v>148</v>
      </c>
      <c r="J55" s="46">
        <v>0.34606997</v>
      </c>
      <c r="K55" s="46">
        <v>2.88958906</v>
      </c>
    </row>
    <row r="56" spans="7:11" x14ac:dyDescent="0.2">
      <c r="G56" s="46" t="s">
        <v>28</v>
      </c>
      <c r="H56" s="46" t="s">
        <v>149</v>
      </c>
      <c r="I56" s="46" t="s">
        <v>150</v>
      </c>
      <c r="J56" s="46">
        <v>1.0477240000000001E-2</v>
      </c>
      <c r="K56" s="46">
        <v>95.444961680000006</v>
      </c>
    </row>
    <row r="57" spans="7:11" x14ac:dyDescent="0.2">
      <c r="G57" s="46" t="s">
        <v>28</v>
      </c>
      <c r="H57" s="46" t="s">
        <v>151</v>
      </c>
      <c r="I57" s="46" t="s">
        <v>463</v>
      </c>
      <c r="J57" s="46">
        <v>7.6336000000000004E-4</v>
      </c>
      <c r="K57" s="46">
        <v>1310</v>
      </c>
    </row>
    <row r="58" spans="7:11" x14ac:dyDescent="0.2">
      <c r="G58" s="46" t="s">
        <v>28</v>
      </c>
      <c r="H58" s="46" t="s">
        <v>152</v>
      </c>
      <c r="I58" s="46" t="s">
        <v>599</v>
      </c>
      <c r="J58" s="46">
        <v>7.6000000000000003E-7</v>
      </c>
      <c r="K58" s="46">
        <v>1320467.62589929</v>
      </c>
    </row>
    <row r="59" spans="7:11" x14ac:dyDescent="0.2">
      <c r="G59" s="46" t="s">
        <v>28</v>
      </c>
      <c r="H59" s="46" t="s">
        <v>153</v>
      </c>
      <c r="I59" s="46" t="s">
        <v>154</v>
      </c>
      <c r="J59" s="46">
        <v>8.1078999999999995E-3</v>
      </c>
      <c r="K59" s="46">
        <v>123.33646374</v>
      </c>
    </row>
    <row r="60" spans="7:11" x14ac:dyDescent="0.2">
      <c r="G60" s="46" t="s">
        <v>28</v>
      </c>
      <c r="H60" s="46" t="s">
        <v>155</v>
      </c>
      <c r="I60" s="46" t="s">
        <v>464</v>
      </c>
      <c r="J60" s="46">
        <v>6.3656900000000002E-3</v>
      </c>
      <c r="K60" s="46">
        <v>157.09207248999999</v>
      </c>
    </row>
    <row r="61" spans="7:11" x14ac:dyDescent="0.2">
      <c r="G61" s="46" t="s">
        <v>28</v>
      </c>
      <c r="H61" s="46" t="s">
        <v>156</v>
      </c>
      <c r="I61" s="46" t="s">
        <v>157</v>
      </c>
      <c r="J61" s="46">
        <v>1.4104179299999999</v>
      </c>
      <c r="K61" s="46">
        <v>0.70900971000000002</v>
      </c>
    </row>
    <row r="62" spans="7:11" x14ac:dyDescent="0.2">
      <c r="G62" s="46" t="s">
        <v>28</v>
      </c>
      <c r="H62" s="46" t="s">
        <v>158</v>
      </c>
      <c r="I62" s="46" t="s">
        <v>159</v>
      </c>
      <c r="J62" s="46">
        <v>6.2880499999999999E-3</v>
      </c>
      <c r="K62" s="46">
        <v>159.03182787</v>
      </c>
    </row>
    <row r="63" spans="7:11" x14ac:dyDescent="0.2">
      <c r="G63" s="46" t="s">
        <v>28</v>
      </c>
      <c r="H63" s="46" t="s">
        <v>160</v>
      </c>
      <c r="I63" s="46" t="s">
        <v>465</v>
      </c>
      <c r="J63" s="46">
        <v>7.7128500000000003E-3</v>
      </c>
      <c r="K63" s="46">
        <v>129.65369749999999</v>
      </c>
    </row>
    <row r="64" spans="7:11" x14ac:dyDescent="0.2">
      <c r="G64" s="46" t="s">
        <v>28</v>
      </c>
      <c r="H64" s="46" t="s">
        <v>161</v>
      </c>
      <c r="I64" s="46" t="s">
        <v>466</v>
      </c>
      <c r="J64" s="46">
        <v>1.143511E-2</v>
      </c>
      <c r="K64" s="46">
        <v>87.449969940000003</v>
      </c>
    </row>
    <row r="65" spans="7:11" x14ac:dyDescent="0.2">
      <c r="G65" s="46" t="s">
        <v>28</v>
      </c>
      <c r="H65" s="46" t="s">
        <v>162</v>
      </c>
      <c r="I65" s="46" t="s">
        <v>467</v>
      </c>
      <c r="J65" s="46">
        <v>2.4895000000000001E-4</v>
      </c>
      <c r="K65" s="46">
        <v>4016.79979387</v>
      </c>
    </row>
    <row r="66" spans="7:11" x14ac:dyDescent="0.2">
      <c r="G66" s="46" t="s">
        <v>28</v>
      </c>
      <c r="H66" s="46" t="s">
        <v>163</v>
      </c>
      <c r="I66" s="46" t="s">
        <v>468</v>
      </c>
      <c r="J66" s="46">
        <v>2.3666199999999998E-3</v>
      </c>
      <c r="K66" s="46">
        <v>422.54380314000002</v>
      </c>
    </row>
    <row r="67" spans="7:11" x14ac:dyDescent="0.2">
      <c r="G67" s="46" t="s">
        <v>28</v>
      </c>
      <c r="H67" s="46" t="s">
        <v>164</v>
      </c>
      <c r="I67" s="46" t="s">
        <v>165</v>
      </c>
      <c r="J67" s="46">
        <v>6.6403000000000002E-4</v>
      </c>
      <c r="K67" s="46">
        <v>1505.95278878</v>
      </c>
    </row>
    <row r="68" spans="7:11" x14ac:dyDescent="0.2">
      <c r="G68" s="46" t="s">
        <v>28</v>
      </c>
      <c r="H68" s="46" t="s">
        <v>166</v>
      </c>
      <c r="I68" s="46" t="s">
        <v>469</v>
      </c>
      <c r="J68" s="46">
        <v>3.24498328</v>
      </c>
      <c r="K68" s="46">
        <v>0.308168</v>
      </c>
    </row>
    <row r="69" spans="7:11" x14ac:dyDescent="0.2">
      <c r="G69" s="46" t="s">
        <v>28</v>
      </c>
      <c r="H69" s="46" t="s">
        <v>167</v>
      </c>
      <c r="I69" s="46" t="s">
        <v>470</v>
      </c>
      <c r="J69" s="46">
        <v>2.1175899999999999E-3</v>
      </c>
      <c r="K69" s="46">
        <v>472.23524526</v>
      </c>
    </row>
    <row r="70" spans="7:11" x14ac:dyDescent="0.2">
      <c r="G70" s="46" t="s">
        <v>28</v>
      </c>
      <c r="H70" s="46" t="s">
        <v>168</v>
      </c>
      <c r="I70" s="46" t="s">
        <v>600</v>
      </c>
      <c r="J70" s="46">
        <v>4.5769999999999997E-5</v>
      </c>
      <c r="K70" s="46">
        <v>21850.595238099999</v>
      </c>
    </row>
    <row r="71" spans="7:11" x14ac:dyDescent="0.2">
      <c r="G71" s="46" t="s">
        <v>28</v>
      </c>
      <c r="H71" s="46" t="s">
        <v>169</v>
      </c>
      <c r="I71" s="46" t="s">
        <v>170</v>
      </c>
      <c r="J71" s="46">
        <v>1.117E-5</v>
      </c>
      <c r="K71" s="46">
        <v>89500</v>
      </c>
    </row>
    <row r="72" spans="7:11" x14ac:dyDescent="0.2">
      <c r="G72" s="46" t="s">
        <v>28</v>
      </c>
      <c r="H72" s="46" t="s">
        <v>171</v>
      </c>
      <c r="I72" s="46" t="s">
        <v>471</v>
      </c>
      <c r="J72" s="46">
        <v>3.0191699999999998E-3</v>
      </c>
      <c r="K72" s="46">
        <v>331.21738384000002</v>
      </c>
    </row>
    <row r="73" spans="7:11" x14ac:dyDescent="0.2">
      <c r="G73" s="46" t="s">
        <v>28</v>
      </c>
      <c r="H73" s="46" t="s">
        <v>172</v>
      </c>
      <c r="I73" s="46" t="s">
        <v>472</v>
      </c>
      <c r="J73" s="46">
        <v>5.46388E-3</v>
      </c>
      <c r="K73" s="46">
        <v>183.02001202</v>
      </c>
    </row>
    <row r="74" spans="7:11" x14ac:dyDescent="0.2">
      <c r="G74" s="46" t="s">
        <v>28</v>
      </c>
      <c r="H74" s="46" t="s">
        <v>173</v>
      </c>
      <c r="I74" s="46" t="s">
        <v>473</v>
      </c>
      <c r="J74" s="46">
        <v>6.1239950000000001E-2</v>
      </c>
      <c r="K74" s="46">
        <v>16.329210679999999</v>
      </c>
    </row>
    <row r="75" spans="7:11" x14ac:dyDescent="0.2">
      <c r="G75" s="46" t="s">
        <v>28</v>
      </c>
      <c r="H75" s="46" t="s">
        <v>174</v>
      </c>
      <c r="I75" s="46" t="s">
        <v>474</v>
      </c>
      <c r="J75" s="46">
        <v>0.15718277999999999</v>
      </c>
      <c r="K75" s="46">
        <v>6.3620200999999996</v>
      </c>
    </row>
    <row r="76" spans="7:11" x14ac:dyDescent="0.2">
      <c r="G76" s="46" t="s">
        <v>28</v>
      </c>
      <c r="H76" s="46" t="s">
        <v>175</v>
      </c>
      <c r="I76" s="46" t="s">
        <v>475</v>
      </c>
      <c r="J76" s="46">
        <v>0.10850885</v>
      </c>
      <c r="K76" s="46">
        <v>9.2158378400000007</v>
      </c>
    </row>
    <row r="77" spans="7:11" x14ac:dyDescent="0.2">
      <c r="G77" s="46" t="s">
        <v>28</v>
      </c>
      <c r="H77" s="46" t="s">
        <v>176</v>
      </c>
      <c r="I77" s="46" t="s">
        <v>476</v>
      </c>
      <c r="J77" s="46">
        <v>5.7680660000000002E-2</v>
      </c>
      <c r="K77" s="46">
        <v>17.336834660000001</v>
      </c>
    </row>
    <row r="78" spans="7:11" x14ac:dyDescent="0.2">
      <c r="G78" s="46" t="s">
        <v>28</v>
      </c>
      <c r="H78" s="46" t="s">
        <v>177</v>
      </c>
      <c r="I78" s="46" t="s">
        <v>477</v>
      </c>
      <c r="J78" s="46">
        <v>2.3871999999999999E-4</v>
      </c>
      <c r="K78" s="46">
        <v>4188.9289701999996</v>
      </c>
    </row>
    <row r="79" spans="7:11" x14ac:dyDescent="0.2">
      <c r="G79" s="46" t="s">
        <v>28</v>
      </c>
      <c r="H79" s="46" t="s">
        <v>178</v>
      </c>
      <c r="I79" s="46" t="s">
        <v>478</v>
      </c>
      <c r="J79" s="46">
        <v>1.8799409999999999E-2</v>
      </c>
      <c r="K79" s="46">
        <v>53.193163269999999</v>
      </c>
    </row>
    <row r="80" spans="7:11" x14ac:dyDescent="0.2">
      <c r="G80" s="46" t="s">
        <v>28</v>
      </c>
      <c r="H80" s="46" t="s">
        <v>179</v>
      </c>
      <c r="I80" s="46" t="s">
        <v>479</v>
      </c>
      <c r="J80" s="46">
        <v>4.7619999999999997E-4</v>
      </c>
      <c r="K80" s="46">
        <v>2099.9742334399998</v>
      </c>
    </row>
    <row r="81" spans="7:11" x14ac:dyDescent="0.2">
      <c r="G81" s="46" t="s">
        <v>28</v>
      </c>
      <c r="H81" s="46" t="s">
        <v>180</v>
      </c>
      <c r="I81" s="46" t="s">
        <v>480</v>
      </c>
      <c r="J81" s="46">
        <v>2.7964999999999999E-4</v>
      </c>
      <c r="K81" s="46">
        <v>3575.89109336</v>
      </c>
    </row>
    <row r="82" spans="7:11" x14ac:dyDescent="0.2">
      <c r="G82" s="46" t="s">
        <v>28</v>
      </c>
      <c r="H82" s="46" t="s">
        <v>181</v>
      </c>
      <c r="I82" s="46" t="s">
        <v>481</v>
      </c>
      <c r="J82" s="46">
        <v>0.12392762</v>
      </c>
      <c r="K82" s="46">
        <v>8.0692261399999996</v>
      </c>
    </row>
    <row r="83" spans="7:11" x14ac:dyDescent="0.2">
      <c r="G83" s="46" t="s">
        <v>28</v>
      </c>
      <c r="H83" s="46" t="s">
        <v>183</v>
      </c>
      <c r="I83" s="46" t="s">
        <v>482</v>
      </c>
      <c r="J83" s="46">
        <v>2.5119200000000001E-2</v>
      </c>
      <c r="K83" s="46">
        <v>39.810186379999998</v>
      </c>
    </row>
    <row r="84" spans="7:11" x14ac:dyDescent="0.2">
      <c r="G84" s="46" t="s">
        <v>28</v>
      </c>
      <c r="H84" s="46" t="s">
        <v>184</v>
      </c>
      <c r="I84" s="46" t="s">
        <v>483</v>
      </c>
      <c r="J84" s="46">
        <v>2.113547E-2</v>
      </c>
      <c r="K84" s="46">
        <v>47.313836639999998</v>
      </c>
    </row>
    <row r="85" spans="7:11" x14ac:dyDescent="0.2">
      <c r="G85" s="46" t="s">
        <v>28</v>
      </c>
      <c r="H85" s="46" t="s">
        <v>185</v>
      </c>
      <c r="I85" s="46" t="s">
        <v>484</v>
      </c>
      <c r="J85" s="46">
        <v>6.4850859999999996E-2</v>
      </c>
      <c r="K85" s="46">
        <v>15.41999485</v>
      </c>
    </row>
    <row r="86" spans="7:11" x14ac:dyDescent="0.2">
      <c r="G86" s="46" t="s">
        <v>28</v>
      </c>
      <c r="H86" s="46" t="s">
        <v>186</v>
      </c>
      <c r="I86" s="46" t="s">
        <v>485</v>
      </c>
      <c r="J86" s="46">
        <v>5.7715000000000002E-4</v>
      </c>
      <c r="K86" s="46">
        <v>1732.64012712</v>
      </c>
    </row>
    <row r="87" spans="7:11" x14ac:dyDescent="0.2">
      <c r="G87" s="46" t="s">
        <v>28</v>
      </c>
      <c r="H87" s="46" t="s">
        <v>187</v>
      </c>
      <c r="I87" s="46" t="s">
        <v>188</v>
      </c>
      <c r="J87" s="46">
        <v>5.7905720000000001E-2</v>
      </c>
      <c r="K87" s="46">
        <v>17.269450429999999</v>
      </c>
    </row>
    <row r="88" spans="7:11" x14ac:dyDescent="0.2">
      <c r="G88" s="46" t="s">
        <v>28</v>
      </c>
      <c r="H88" s="46" t="s">
        <v>189</v>
      </c>
      <c r="I88" s="46" t="s">
        <v>190</v>
      </c>
      <c r="J88" s="46">
        <v>0.25209677000000003</v>
      </c>
      <c r="K88" s="46">
        <v>3.9667306999999998</v>
      </c>
    </row>
    <row r="89" spans="7:11" x14ac:dyDescent="0.2">
      <c r="G89" s="46" t="s">
        <v>28</v>
      </c>
      <c r="H89" s="46" t="s">
        <v>191</v>
      </c>
      <c r="I89" s="46" t="s">
        <v>486</v>
      </c>
      <c r="J89" s="46">
        <v>1.568926E-2</v>
      </c>
      <c r="K89" s="46">
        <v>63.737868249999998</v>
      </c>
    </row>
    <row r="90" spans="7:11" x14ac:dyDescent="0.2">
      <c r="G90" s="46" t="s">
        <v>28</v>
      </c>
      <c r="H90" s="46" t="s">
        <v>192</v>
      </c>
      <c r="I90" s="46" t="s">
        <v>487</v>
      </c>
      <c r="J90" s="46">
        <v>6.1239950000000001E-2</v>
      </c>
      <c r="K90" s="46">
        <v>16.329210679999999</v>
      </c>
    </row>
    <row r="91" spans="7:11" x14ac:dyDescent="0.2">
      <c r="G91" s="46" t="s">
        <v>28</v>
      </c>
      <c r="H91" s="46" t="s">
        <v>193</v>
      </c>
      <c r="I91" s="46" t="s">
        <v>422</v>
      </c>
      <c r="J91" s="46">
        <v>7.2703000000000004E-4</v>
      </c>
      <c r="K91" s="46">
        <v>1375.4600189</v>
      </c>
    </row>
    <row r="92" spans="7:11" x14ac:dyDescent="0.2">
      <c r="G92" s="46" t="s">
        <v>28</v>
      </c>
      <c r="H92" s="46" t="s">
        <v>194</v>
      </c>
      <c r="I92" s="46" t="s">
        <v>488</v>
      </c>
      <c r="J92" s="46">
        <v>2.7182250000000002E-2</v>
      </c>
      <c r="K92" s="46">
        <v>36.788714249999998</v>
      </c>
    </row>
    <row r="93" spans="7:11" x14ac:dyDescent="0.2">
      <c r="G93" s="46" t="s">
        <v>28</v>
      </c>
      <c r="H93" s="46" t="s">
        <v>195</v>
      </c>
      <c r="I93" s="46" t="s">
        <v>196</v>
      </c>
      <c r="J93" s="46">
        <v>0.1081551</v>
      </c>
      <c r="K93" s="46">
        <v>9.2459813200000003</v>
      </c>
    </row>
    <row r="94" spans="7:11" x14ac:dyDescent="0.2">
      <c r="G94" s="46" t="s">
        <v>28</v>
      </c>
      <c r="H94" s="46" t="s">
        <v>197</v>
      </c>
      <c r="I94" s="46" t="s">
        <v>489</v>
      </c>
      <c r="J94" s="46">
        <v>6.5624200000000002E-3</v>
      </c>
      <c r="K94" s="46">
        <v>152.38271922999999</v>
      </c>
    </row>
    <row r="95" spans="7:11" x14ac:dyDescent="0.2">
      <c r="G95" s="46" t="s">
        <v>28</v>
      </c>
      <c r="H95" s="46" t="s">
        <v>198</v>
      </c>
      <c r="I95" s="46" t="s">
        <v>199</v>
      </c>
      <c r="J95" s="46">
        <v>0.58463089000000001</v>
      </c>
      <c r="K95" s="46">
        <v>1.7104809599999999</v>
      </c>
    </row>
    <row r="96" spans="7:11" x14ac:dyDescent="0.2">
      <c r="G96" s="46" t="s">
        <v>28</v>
      </c>
      <c r="H96" s="46" t="s">
        <v>200</v>
      </c>
      <c r="I96" s="46" t="s">
        <v>490</v>
      </c>
      <c r="J96" s="46">
        <v>2.6006254200000001</v>
      </c>
      <c r="K96" s="46">
        <v>0.38452289000000001</v>
      </c>
    </row>
    <row r="97" spans="7:11" x14ac:dyDescent="0.2">
      <c r="G97" s="46" t="s">
        <v>28</v>
      </c>
      <c r="H97" s="46" t="s">
        <v>201</v>
      </c>
      <c r="I97" s="46" t="s">
        <v>202</v>
      </c>
      <c r="J97" s="46">
        <v>1</v>
      </c>
      <c r="K97" s="46">
        <v>1</v>
      </c>
    </row>
    <row r="98" spans="7:11" x14ac:dyDescent="0.2">
      <c r="G98" s="46" t="s">
        <v>28</v>
      </c>
      <c r="H98" s="46" t="s">
        <v>203</v>
      </c>
      <c r="I98" s="46" t="s">
        <v>204</v>
      </c>
      <c r="J98" s="46">
        <v>0.29317041999999999</v>
      </c>
      <c r="K98" s="46">
        <v>3.4109852900000002</v>
      </c>
    </row>
    <row r="99" spans="7:11" x14ac:dyDescent="0.2">
      <c r="G99" s="46" t="s">
        <v>28</v>
      </c>
      <c r="H99" s="46" t="s">
        <v>205</v>
      </c>
      <c r="I99" s="46" t="s">
        <v>491</v>
      </c>
      <c r="J99" s="46">
        <v>0.22939894999999999</v>
      </c>
      <c r="K99" s="46">
        <v>4.3592178800000001</v>
      </c>
    </row>
    <row r="100" spans="7:11" x14ac:dyDescent="0.2">
      <c r="G100" s="46" t="s">
        <v>28</v>
      </c>
      <c r="H100" s="46" t="s">
        <v>206</v>
      </c>
      <c r="I100" s="46" t="s">
        <v>207</v>
      </c>
      <c r="J100" s="46">
        <v>1.6225099999999999E-2</v>
      </c>
      <c r="K100" s="46">
        <v>61.63290018</v>
      </c>
    </row>
    <row r="101" spans="7:11" x14ac:dyDescent="0.2">
      <c r="G101" s="46" t="s">
        <v>28</v>
      </c>
      <c r="H101" s="46" t="s">
        <v>208</v>
      </c>
      <c r="I101" s="46" t="s">
        <v>209</v>
      </c>
      <c r="J101" s="46">
        <v>3.5846900000000002E-3</v>
      </c>
      <c r="K101" s="46">
        <v>278.96401271000002</v>
      </c>
    </row>
    <row r="102" spans="7:11" x14ac:dyDescent="0.2">
      <c r="G102" s="46" t="s">
        <v>28</v>
      </c>
      <c r="H102" s="46" t="s">
        <v>210</v>
      </c>
      <c r="I102" s="46" t="s">
        <v>211</v>
      </c>
      <c r="J102" s="46">
        <v>0.27504018000000002</v>
      </c>
      <c r="K102" s="46">
        <v>3.6358324199999998</v>
      </c>
    </row>
    <row r="103" spans="7:11" x14ac:dyDescent="0.2">
      <c r="G103" s="46" t="s">
        <v>28</v>
      </c>
      <c r="H103" s="46" t="s">
        <v>212</v>
      </c>
      <c r="I103" s="46" t="s">
        <v>213</v>
      </c>
      <c r="J103" s="46">
        <v>1.6161999999999999E-4</v>
      </c>
      <c r="K103" s="46">
        <v>6187.2585448399996</v>
      </c>
    </row>
    <row r="104" spans="7:11" x14ac:dyDescent="0.2">
      <c r="G104" s="46" t="s">
        <v>28</v>
      </c>
      <c r="H104" s="46" t="s">
        <v>214</v>
      </c>
      <c r="I104" s="46" t="s">
        <v>492</v>
      </c>
      <c r="J104" s="46">
        <v>0.27429332000000001</v>
      </c>
      <c r="K104" s="46">
        <v>3.6457322300000001</v>
      </c>
    </row>
    <row r="105" spans="7:11" x14ac:dyDescent="0.2">
      <c r="G105" s="46" t="s">
        <v>28</v>
      </c>
      <c r="H105" s="46" t="s">
        <v>215</v>
      </c>
      <c r="I105" s="46" t="s">
        <v>216</v>
      </c>
      <c r="J105" s="46">
        <v>0.22198723000000001</v>
      </c>
      <c r="K105" s="46">
        <v>4.5047635699999997</v>
      </c>
    </row>
    <row r="106" spans="7:11" x14ac:dyDescent="0.2">
      <c r="G106" s="46" t="s">
        <v>28</v>
      </c>
      <c r="H106" s="46" t="s">
        <v>217</v>
      </c>
      <c r="I106" s="46" t="s">
        <v>493</v>
      </c>
      <c r="J106" s="46">
        <v>9.8958899999999992E-3</v>
      </c>
      <c r="K106" s="46">
        <v>101.05206607</v>
      </c>
    </row>
    <row r="107" spans="7:11" x14ac:dyDescent="0.2">
      <c r="G107" s="46" t="s">
        <v>28</v>
      </c>
      <c r="H107" s="46" t="s">
        <v>218</v>
      </c>
      <c r="I107" s="46" t="s">
        <v>219</v>
      </c>
      <c r="J107" s="46">
        <v>1.4022349999999999E-2</v>
      </c>
      <c r="K107" s="46">
        <v>71.314726429999993</v>
      </c>
    </row>
    <row r="108" spans="7:11" x14ac:dyDescent="0.2">
      <c r="G108" s="46" t="s">
        <v>28</v>
      </c>
      <c r="H108" s="46" t="s">
        <v>220</v>
      </c>
      <c r="I108" s="46" t="s">
        <v>494</v>
      </c>
      <c r="J108" s="46">
        <v>6.8362000000000002E-4</v>
      </c>
      <c r="K108" s="46">
        <v>1462.8064931700001</v>
      </c>
    </row>
    <row r="109" spans="7:11" x14ac:dyDescent="0.2">
      <c r="G109" s="46" t="s">
        <v>28</v>
      </c>
      <c r="H109" s="46" t="s">
        <v>221</v>
      </c>
      <c r="I109" s="46" t="s">
        <v>222</v>
      </c>
      <c r="J109" s="46">
        <v>0.26646308000000002</v>
      </c>
      <c r="K109" s="46">
        <v>3.7528651200000001</v>
      </c>
    </row>
    <row r="110" spans="7:11" x14ac:dyDescent="0.2">
      <c r="G110" s="46" t="s">
        <v>28</v>
      </c>
      <c r="H110" s="46" t="s">
        <v>223</v>
      </c>
      <c r="I110" s="46" t="s">
        <v>495</v>
      </c>
      <c r="J110" s="46">
        <v>0.12419995</v>
      </c>
      <c r="K110" s="46">
        <v>8.0515331099999994</v>
      </c>
    </row>
    <row r="111" spans="7:11" x14ac:dyDescent="0.2">
      <c r="G111" s="46" t="s">
        <v>28</v>
      </c>
      <c r="H111" s="46" t="s">
        <v>224</v>
      </c>
      <c r="I111" s="46" t="s">
        <v>496</v>
      </c>
      <c r="J111" s="46">
        <v>6.7844509999999997E-2</v>
      </c>
      <c r="K111" s="46">
        <v>14.739586020000001</v>
      </c>
    </row>
    <row r="112" spans="7:11" x14ac:dyDescent="0.2">
      <c r="G112" s="46" t="s">
        <v>28</v>
      </c>
      <c r="H112" s="46" t="s">
        <v>225</v>
      </c>
      <c r="I112" s="46" t="s">
        <v>497</v>
      </c>
      <c r="J112" s="46">
        <v>1.6661899999999999E-3</v>
      </c>
      <c r="K112" s="46">
        <v>600.17066048000004</v>
      </c>
    </row>
    <row r="113" spans="7:11" x14ac:dyDescent="0.2">
      <c r="G113" s="46" t="s">
        <v>28</v>
      </c>
      <c r="H113" s="46" t="s">
        <v>226</v>
      </c>
      <c r="I113" s="46" t="s">
        <v>227</v>
      </c>
      <c r="J113" s="46">
        <v>0.10778428</v>
      </c>
      <c r="K113" s="46">
        <v>9.2777908399999998</v>
      </c>
    </row>
    <row r="114" spans="7:11" x14ac:dyDescent="0.2">
      <c r="G114" s="46" t="s">
        <v>28</v>
      </c>
      <c r="H114" s="46" t="s">
        <v>228</v>
      </c>
      <c r="I114" s="46" t="s">
        <v>229</v>
      </c>
      <c r="J114" s="46">
        <v>0.78270088999999998</v>
      </c>
      <c r="K114" s="46">
        <v>1.27762727</v>
      </c>
    </row>
    <row r="115" spans="7:11" x14ac:dyDescent="0.2">
      <c r="G115" s="46" t="s">
        <v>28</v>
      </c>
      <c r="H115" s="46" t="s">
        <v>230</v>
      </c>
      <c r="I115" s="46" t="s">
        <v>498</v>
      </c>
      <c r="J115" s="46">
        <v>1.7500899999999999E-3</v>
      </c>
      <c r="K115" s="46">
        <v>571.39998281999999</v>
      </c>
    </row>
    <row r="116" spans="7:11" x14ac:dyDescent="0.2">
      <c r="G116" s="46" t="s">
        <v>28</v>
      </c>
      <c r="H116" s="46" t="s">
        <v>231</v>
      </c>
      <c r="I116" s="46" t="s">
        <v>499</v>
      </c>
      <c r="J116" s="46">
        <v>2.698387E-2</v>
      </c>
      <c r="K116" s="46">
        <v>37.05917719</v>
      </c>
    </row>
    <row r="117" spans="7:11" x14ac:dyDescent="0.2">
      <c r="G117" s="46" t="s">
        <v>28</v>
      </c>
      <c r="H117" s="46" t="s">
        <v>232</v>
      </c>
      <c r="I117" s="46" t="s">
        <v>500</v>
      </c>
      <c r="J117" s="46">
        <v>2.1210000000000001E-4</v>
      </c>
      <c r="K117" s="46">
        <v>4714.7182856700001</v>
      </c>
    </row>
    <row r="118" spans="7:11" x14ac:dyDescent="0.2">
      <c r="G118" s="46" t="s">
        <v>28</v>
      </c>
      <c r="H118" s="46" t="s">
        <v>233</v>
      </c>
      <c r="I118" s="46" t="s">
        <v>501</v>
      </c>
      <c r="J118" s="46">
        <v>4.7522450000000001E-2</v>
      </c>
      <c r="K118" s="46">
        <v>21.042686589999999</v>
      </c>
    </row>
    <row r="119" spans="7:11" x14ac:dyDescent="0.2">
      <c r="G119" s="46" t="s">
        <v>28</v>
      </c>
      <c r="H119" s="46" t="s">
        <v>234</v>
      </c>
      <c r="I119" s="46" t="s">
        <v>502</v>
      </c>
      <c r="J119" s="46">
        <v>0.11428599</v>
      </c>
      <c r="K119" s="46">
        <v>8.7499785299999999</v>
      </c>
    </row>
    <row r="120" spans="7:11" x14ac:dyDescent="0.2">
      <c r="G120" s="46" t="s">
        <v>28</v>
      </c>
      <c r="H120" s="46" t="s">
        <v>235</v>
      </c>
      <c r="I120" s="46" t="s">
        <v>601</v>
      </c>
      <c r="J120" s="46">
        <v>8.6559199999999992E-3</v>
      </c>
      <c r="K120" s="46">
        <v>115.52793076</v>
      </c>
    </row>
    <row r="121" spans="7:11" x14ac:dyDescent="0.2">
      <c r="G121" s="46" t="s">
        <v>28</v>
      </c>
      <c r="H121" s="46" t="s">
        <v>236</v>
      </c>
      <c r="I121" s="46" t="s">
        <v>503</v>
      </c>
      <c r="J121" s="46">
        <v>6.1239950000000001E-2</v>
      </c>
      <c r="K121" s="46">
        <v>16.329210679999999</v>
      </c>
    </row>
    <row r="122" spans="7:11" x14ac:dyDescent="0.2">
      <c r="G122" s="46" t="s">
        <v>28</v>
      </c>
      <c r="H122" s="46" t="s">
        <v>237</v>
      </c>
      <c r="I122" s="46" t="s">
        <v>238</v>
      </c>
      <c r="J122" s="46">
        <v>3.0652660000000002E-2</v>
      </c>
      <c r="K122" s="46">
        <v>32.623597220000001</v>
      </c>
    </row>
    <row r="123" spans="7:11" x14ac:dyDescent="0.2">
      <c r="G123" s="46" t="s">
        <v>28</v>
      </c>
      <c r="H123" s="46" t="s">
        <v>239</v>
      </c>
      <c r="I123" s="46" t="s">
        <v>504</v>
      </c>
      <c r="J123" s="46">
        <v>0.10795149</v>
      </c>
      <c r="K123" s="46">
        <v>9.2634200799999995</v>
      </c>
    </row>
    <row r="124" spans="7:11" x14ac:dyDescent="0.2">
      <c r="G124" s="46" t="s">
        <v>28</v>
      </c>
      <c r="H124" s="46" t="s">
        <v>240</v>
      </c>
      <c r="I124" s="46" t="s">
        <v>505</v>
      </c>
      <c r="J124" s="46">
        <v>0.28571078</v>
      </c>
      <c r="K124" s="46">
        <v>3.5000429400000002</v>
      </c>
    </row>
    <row r="125" spans="7:11" x14ac:dyDescent="0.2">
      <c r="G125" s="46" t="s">
        <v>28</v>
      </c>
      <c r="H125" s="46" t="s">
        <v>241</v>
      </c>
      <c r="I125" s="46" t="s">
        <v>242</v>
      </c>
      <c r="J125" s="46">
        <v>0.34519225999999997</v>
      </c>
      <c r="K125" s="46">
        <v>2.89693632</v>
      </c>
    </row>
    <row r="126" spans="7:11" x14ac:dyDescent="0.2">
      <c r="G126" s="46" t="s">
        <v>28</v>
      </c>
      <c r="H126" s="46" t="s">
        <v>243</v>
      </c>
      <c r="I126" s="46" t="s">
        <v>506</v>
      </c>
      <c r="J126" s="46">
        <v>0.42690572999999998</v>
      </c>
      <c r="K126" s="46">
        <v>2.3424375199999998</v>
      </c>
    </row>
    <row r="127" spans="7:11" x14ac:dyDescent="0.2">
      <c r="G127" s="46" t="s">
        <v>28</v>
      </c>
      <c r="H127" s="46" t="s">
        <v>244</v>
      </c>
      <c r="I127" s="46" t="s">
        <v>245</v>
      </c>
      <c r="J127" s="46">
        <v>2.1871430000000001E-2</v>
      </c>
      <c r="K127" s="46">
        <v>45.721746590000002</v>
      </c>
    </row>
    <row r="128" spans="7:11" x14ac:dyDescent="0.2">
      <c r="G128" s="46" t="s">
        <v>28</v>
      </c>
      <c r="H128" s="46" t="s">
        <v>246</v>
      </c>
      <c r="I128" s="46" t="s">
        <v>507</v>
      </c>
      <c r="J128" s="46">
        <v>0.14802243000000001</v>
      </c>
      <c r="K128" s="46">
        <v>6.7557330599999998</v>
      </c>
    </row>
    <row r="129" spans="7:11" x14ac:dyDescent="0.2">
      <c r="G129" s="46" t="s">
        <v>28</v>
      </c>
      <c r="H129" s="46" t="s">
        <v>247</v>
      </c>
      <c r="I129" s="46" t="s">
        <v>248</v>
      </c>
      <c r="J129" s="46">
        <v>3.1738410000000002E-2</v>
      </c>
      <c r="K129" s="46">
        <v>31.5075687</v>
      </c>
    </row>
    <row r="130" spans="7:11" x14ac:dyDescent="0.2">
      <c r="G130" s="46" t="s">
        <v>28</v>
      </c>
      <c r="H130" s="46" t="s">
        <v>249</v>
      </c>
      <c r="I130" s="46" t="s">
        <v>508</v>
      </c>
      <c r="J130" s="46">
        <v>3.8153999999999998E-4</v>
      </c>
      <c r="K130" s="46">
        <v>2620.9644421500002</v>
      </c>
    </row>
    <row r="131" spans="7:11" x14ac:dyDescent="0.2">
      <c r="G131" s="46" t="s">
        <v>28</v>
      </c>
      <c r="H131" s="46" t="s">
        <v>250</v>
      </c>
      <c r="I131" s="46" t="s">
        <v>251</v>
      </c>
      <c r="J131" s="46">
        <v>2.2595859999999999E-2</v>
      </c>
      <c r="K131" s="46">
        <v>44.25589549</v>
      </c>
    </row>
    <row r="132" spans="7:11" x14ac:dyDescent="0.2">
      <c r="G132" s="46" t="s">
        <v>28</v>
      </c>
      <c r="H132" s="46" t="s">
        <v>252</v>
      </c>
      <c r="I132" s="46" t="s">
        <v>509</v>
      </c>
      <c r="J132" s="46">
        <v>2.6475000000000001E-4</v>
      </c>
      <c r="K132" s="46">
        <v>3777.16224341</v>
      </c>
    </row>
    <row r="133" spans="7:11" x14ac:dyDescent="0.2">
      <c r="G133" s="46" t="s">
        <v>28</v>
      </c>
      <c r="H133" s="46" t="s">
        <v>253</v>
      </c>
      <c r="I133" s="46" t="s">
        <v>254</v>
      </c>
      <c r="J133" s="46">
        <v>2.502155E-2</v>
      </c>
      <c r="K133" s="46">
        <v>39.965552240000001</v>
      </c>
    </row>
    <row r="134" spans="7:11" x14ac:dyDescent="0.2">
      <c r="G134" s="46" t="s">
        <v>28</v>
      </c>
      <c r="H134" s="46" t="s">
        <v>255</v>
      </c>
      <c r="I134" s="46" t="s">
        <v>510</v>
      </c>
      <c r="J134" s="46">
        <v>8.3189999999999995E-5</v>
      </c>
      <c r="K134" s="46">
        <v>12020.0463798</v>
      </c>
    </row>
    <row r="135" spans="7:11" x14ac:dyDescent="0.2">
      <c r="G135" s="46" t="s">
        <v>28</v>
      </c>
      <c r="H135" s="46" t="s">
        <v>256</v>
      </c>
      <c r="I135" s="46" t="s">
        <v>257</v>
      </c>
      <c r="J135" s="46">
        <v>1.88846E-3</v>
      </c>
      <c r="K135" s="46">
        <v>529.53270807000001</v>
      </c>
    </row>
    <row r="136" spans="7:11" x14ac:dyDescent="0.2">
      <c r="G136" s="46" t="s">
        <v>28</v>
      </c>
      <c r="H136" s="46" t="s">
        <v>258</v>
      </c>
      <c r="I136" s="46" t="s">
        <v>259</v>
      </c>
      <c r="J136" s="46">
        <v>3.7960000000000002E-5</v>
      </c>
      <c r="K136" s="46">
        <v>26346.71752713</v>
      </c>
    </row>
    <row r="137" spans="7:11" x14ac:dyDescent="0.2">
      <c r="G137" s="46" t="s">
        <v>28</v>
      </c>
      <c r="H137" s="46" t="s">
        <v>260</v>
      </c>
      <c r="I137" s="46" t="s">
        <v>511</v>
      </c>
      <c r="J137" s="46">
        <v>8.5252999999999995E-3</v>
      </c>
      <c r="K137" s="46">
        <v>117.29794726</v>
      </c>
    </row>
    <row r="138" spans="7:11" x14ac:dyDescent="0.2">
      <c r="G138" s="46" t="s">
        <v>28</v>
      </c>
      <c r="H138" s="46" t="s">
        <v>261</v>
      </c>
      <c r="I138" s="46" t="s">
        <v>512</v>
      </c>
      <c r="J138" s="46">
        <v>0.37060733000000001</v>
      </c>
      <c r="K138" s="46">
        <v>2.69827364</v>
      </c>
    </row>
    <row r="139" spans="7:11" x14ac:dyDescent="0.2">
      <c r="G139" s="46" t="s">
        <v>28</v>
      </c>
      <c r="H139" s="46" t="s">
        <v>262</v>
      </c>
      <c r="I139" s="46" t="s">
        <v>263</v>
      </c>
      <c r="J139" s="46">
        <v>1.7749599999999999E-3</v>
      </c>
      <c r="K139" s="46">
        <v>563.39173751999999</v>
      </c>
    </row>
    <row r="140" spans="7:11" x14ac:dyDescent="0.2">
      <c r="G140" s="46" t="s">
        <v>28</v>
      </c>
      <c r="H140" s="46" t="s">
        <v>264</v>
      </c>
      <c r="I140" s="46" t="s">
        <v>513</v>
      </c>
      <c r="J140" s="46">
        <v>0.37037154999999999</v>
      </c>
      <c r="K140" s="46">
        <v>2.69999141</v>
      </c>
    </row>
    <row r="141" spans="7:11" x14ac:dyDescent="0.2">
      <c r="G141" s="46" t="s">
        <v>28</v>
      </c>
      <c r="H141" s="46" t="s">
        <v>563</v>
      </c>
      <c r="I141" s="46" t="s">
        <v>564</v>
      </c>
      <c r="J141" s="46">
        <v>0.55865841000000005</v>
      </c>
      <c r="K141" s="46">
        <v>1.7900025799999999</v>
      </c>
    </row>
    <row r="142" spans="7:11" x14ac:dyDescent="0.2">
      <c r="G142" s="46" t="s">
        <v>28</v>
      </c>
      <c r="H142" s="46" t="s">
        <v>265</v>
      </c>
      <c r="I142" s="46" t="s">
        <v>266</v>
      </c>
      <c r="J142" s="46">
        <v>1.7749599999999999E-3</v>
      </c>
      <c r="K142" s="46">
        <v>563.39173751999999</v>
      </c>
    </row>
    <row r="143" spans="7:11" x14ac:dyDescent="0.2">
      <c r="G143" s="46" t="s">
        <v>28</v>
      </c>
      <c r="H143" s="46" t="s">
        <v>267</v>
      </c>
      <c r="I143" s="46" t="s">
        <v>514</v>
      </c>
      <c r="J143" s="46">
        <v>9.7568399999999993E-3</v>
      </c>
      <c r="K143" s="46">
        <v>102.49222709</v>
      </c>
    </row>
    <row r="144" spans="7:11" x14ac:dyDescent="0.2">
      <c r="G144" s="46" t="s">
        <v>28</v>
      </c>
      <c r="H144" s="46" t="s">
        <v>268</v>
      </c>
      <c r="I144" s="46" t="s">
        <v>515</v>
      </c>
      <c r="J144" s="46">
        <v>4.1911400000000003E-3</v>
      </c>
      <c r="K144" s="46">
        <v>238.59829941000001</v>
      </c>
    </row>
    <row r="145" spans="7:11" x14ac:dyDescent="0.2">
      <c r="G145" s="46" t="s">
        <v>28</v>
      </c>
      <c r="H145" s="46" t="s">
        <v>269</v>
      </c>
      <c r="I145" s="46" t="s">
        <v>270</v>
      </c>
      <c r="J145" s="46">
        <v>6.1288259999999997E-2</v>
      </c>
      <c r="K145" s="46">
        <v>16.316337499999999</v>
      </c>
    </row>
    <row r="146" spans="7:11" x14ac:dyDescent="0.2">
      <c r="G146" s="46" t="s">
        <v>28</v>
      </c>
      <c r="H146" s="46" t="s">
        <v>271</v>
      </c>
      <c r="I146" s="46" t="s">
        <v>516</v>
      </c>
      <c r="J146" s="46">
        <v>5.3111510000000001E-2</v>
      </c>
      <c r="K146" s="46">
        <v>18.82830886</v>
      </c>
    </row>
  </sheetData>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47E815-6D09-4B07-A5E9-A0EE610C2C89}">
  <ds:schemaRefs>
    <ds:schemaRef ds:uri="http://schemas.microsoft.com/DataMashup"/>
  </ds:schemaRefs>
</ds:datastoreItem>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Stato patrimoniale</vt:lpstr>
      <vt:lpstr>Operazioni</vt:lpstr>
      <vt:lpstr>Securities</vt:lpstr>
      <vt:lpstr>Transactions_Buy</vt:lpstr>
      <vt:lpstr>Transaction_Sell</vt:lpstr>
      <vt:lpstr>Dividends</vt:lpstr>
      <vt:lpstr>Per stock</vt:lpstr>
      <vt:lpstr>Per tipo</vt:lpstr>
      <vt:lpstr>Per classe</vt:lpstr>
      <vt:lpstr>Per valuta</vt:lpstr>
      <vt:lpstr>Per Intermediario</vt:lpstr>
      <vt:lpstr>Per Area</vt:lpstr>
      <vt:lpstr>Azionario per Area</vt:lpstr>
      <vt:lpstr>Obblig per Area</vt:lpstr>
      <vt:lpstr>Per Settore</vt:lpstr>
      <vt:lpstr>Azionario per Settore</vt:lpstr>
      <vt:lpstr>Obblig per Settore</vt:lpstr>
      <vt:lpstr>Per Emittente</vt:lpstr>
      <vt:lpstr>Per valuta (2)</vt:lpstr>
      <vt:lpstr>Per Intermediario (2)</vt:lpstr>
      <vt:lpstr>Valute</vt:lpstr>
      <vt:lpstr>ValuteAutoDownload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Portafoglio</dc:title>
  <dc:creator/>
  <dc:description>Licenza CC, software fornito as it is</dc:description>
  <cp:lastModifiedBy/>
  <dcterms:created xsi:type="dcterms:W3CDTF">2022-12-19T21:41:54Z</dcterms:created>
  <dcterms:modified xsi:type="dcterms:W3CDTF">2026-05-26T12:53:50Z</dcterms:modified>
</cp:coreProperties>
</file>